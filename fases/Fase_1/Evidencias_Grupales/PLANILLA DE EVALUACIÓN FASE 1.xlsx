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005\Grupo 5 InsightDox\Evidencia Grupal\"/>
    </mc:Choice>
  </mc:AlternateContent>
  <xr:revisionPtr revIDLastSave="0" documentId="13_ncr:1_{4958ADF3-6B12-4659-B551-3DD7C8F85C04}"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F14" i="1"/>
  <c r="G14" i="1" s="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D22" i="1"/>
  <c r="E22" i="1" s="1"/>
  <c r="F20" i="1"/>
  <c r="G20" i="1" s="1"/>
  <c r="G21" i="1"/>
  <c r="C57" i="1" l="1"/>
  <c r="C46" i="1"/>
  <c r="E21" i="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<sst xmlns="http://schemas.openxmlformats.org/spreadsheetml/2006/main" count="163" uniqueCount="98">
  <si>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</si>
  <si>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</si>
  <si>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</si>
  <si>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</si>
  <si>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</si>
  <si>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</si>
  <si>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</si>
  <si>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</si>
  <si>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</si>
  <si>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</si>
  <si>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</si>
  <si>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</si>
  <si>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</si>
  <si>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</si>
  <si>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</si>
  <si>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</si>
  <si>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</si>
  <si>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</si>
  <si>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</si>
  <si>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</si>
  <si>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</si>
  <si>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</si>
  <si>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</si>
  <si>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</si>
  <si>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</si>
  <si>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</si>
  <si>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</si>
  <si>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</si>
  <si>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</si>
  <si>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</si>
  <si>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</si>
  <si>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</si>
  <si>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</si>
  <si>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</si>
  <si>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</si>
  <si>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</si>
  <si>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</si>
  <si>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</si>
  <si>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</si>
  <si>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</si>
  <si>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</si>
  <si>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</si>
  <si>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</si>
  <si>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</si>
  <si>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</si>
  <si>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</si>
  <si>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</si>
  <si>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</si>
  <si>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</si>
  <si>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</si>
  <si>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</si>
  <si>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</si>
  <si>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</si>
  <si>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</si>
  <si>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</si>
  <si>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</si>
  <si>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</si>
  <si>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</si>
  <si>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</si>
  <si>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</si>
  <si>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</si>
  <si>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</si>
  <si>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</si>
  <si>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</si>
  <si>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</si>
  <si>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</si>
  <si>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</si>
  <si>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</si>
  <si>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</si>
  <si>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</si>
  <si>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</si>
  <si>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</si>
  <si>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</si>
  <si>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</si>
  <si>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</si>
  <si>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</si>
  <si>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</si>
  <si>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</si>
  <si>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</si>
  <si>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</si>
  <si>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</si>
  <si>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</si>
  <si>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</si>
  <si>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</si>
  <si>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</si>
  <si>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</si>
  <si>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</si>
  <si>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</si>
  <si>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</si>
  <si>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</si>
  <si>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</si>
  <si>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</si>
  <si>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</si>
  <si>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</si>
  <si>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</si>
  <si>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</si>
  <si>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Marcelo Peña</t>
  </si>
  <si>
    <t>Michael Cisternas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</si>
</sst>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F22" sqref="F2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5.8</v>
      </c>
      <c r="D4" s="6">
        <f>$C$35</f>
        <v>6</v>
      </c>
      <c r="E4" s="43">
        <f>C4*C$2+D4*D$2</f>
        <v>5.85</v>
      </c>
      <c r="G4" s="1"/>
    </row>
    <row r="5" spans="1:11" x14ac:dyDescent="0.25">
      <c r="A5" s="5">
        <v>2</v>
      </c>
      <c r="B5" s="32" t="s">
        <v>97</v>
      </c>
      <c r="C5" s="6">
        <f>EVALUACION1!$C$24</f>
        <v>5.8</v>
      </c>
      <c r="D5" s="6">
        <f>C47</f>
        <v>6</v>
      </c>
      <c r="E5" s="43">
        <f t="shared" ref="E5:E6" si="0">C5*C$2+D5*D$2</f>
        <v>5.85</v>
      </c>
      <c r="G5" s="1"/>
    </row>
    <row r="6" spans="1:11" x14ac:dyDescent="0.25">
      <c r="A6" s="5">
        <v>3</v>
      </c>
      <c r="B6" s="32"/>
      <c r="C6" s="6">
        <f>EVALUACION1!$C$24</f>
        <v>5.8</v>
      </c>
      <c r="D6" s="6">
        <f>C58</f>
        <v>6</v>
      </c>
      <c r="E6" s="43">
        <f t="shared" si="0"/>
        <v>5.85</v>
      </c>
      <c r="G6" s="1"/>
    </row>
    <row r="8" spans="1:11" ht="15" customHeight="1" x14ac:dyDescent="0.25">
      <c r="B8" s="49"/>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c r="E14" s="16" t="str">
        <f t="shared" ref="E14" si="6">IF(D14="X",100*0.05,"")</f>
        <v/>
      </c>
      <c r="F14" s="16" t="str">
        <f t="shared" si="2"/>
        <v/>
      </c>
      <c r="G14" s="16" t="str">
        <f t="shared" ref="G14" si="7">IF(F14="X",60*0.05,"")</f>
        <v/>
      </c>
      <c r="H14" s="16" t="s">
        <v>95</v>
      </c>
      <c r="I14" s="16">
        <f t="shared" ref="I14" si="8">IF(H14="X",30*0.05,"")</f>
        <v>1.5</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c r="E21" s="16" t="str">
        <f t="shared" si="9"/>
        <v/>
      </c>
      <c r="F21" s="16" t="s">
        <v>95</v>
      </c>
      <c r="G21" s="16">
        <f t="shared" si="10"/>
        <v>3</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3"/>
      <c r="B23" s="34" t="s">
        <v>11</v>
      </c>
      <c r="C23" s="37">
        <f>E23+G23+I23+K23</f>
        <v>58.5</v>
      </c>
      <c r="D23" s="19"/>
      <c r="E23" s="19">
        <f>SUM(E13:E22)</f>
        <v>45</v>
      </c>
      <c r="F23" s="19"/>
      <c r="G23" s="19">
        <f>SUM(G13:G22)</f>
        <v>12</v>
      </c>
      <c r="H23" s="19"/>
      <c r="I23" s="19">
        <f>SUM(I13:I22)</f>
        <v>1.5</v>
      </c>
      <c r="J23" s="19"/>
      <c r="K23" s="19">
        <f>SUM(K13:K22)</f>
        <v>0</v>
      </c>
    </row>
    <row r="24" spans="1:11" ht="15.75" customHeight="1" outlineLevel="1" x14ac:dyDescent="0.3">
      <c r="A24" s="51"/>
      <c r="B24" s="36" t="s">
        <v>12</v>
      </c>
      <c r="C24" s="20">
        <f>VLOOKUP(C23,ESCALA_IEP!A2:B142,2,FALSE)</f>
        <v>5.8</v>
      </c>
    </row>
    <row r="25" spans="1:11" ht="15.75" customHeight="1" x14ac:dyDescent="0.25"/>
    <row r="26" spans="1:11" ht="15.75" customHeight="1" x14ac:dyDescent="0.25"/>
    <row r="27" spans="1:11" ht="15.75" customHeight="1" x14ac:dyDescent="0.25">
      <c r="A27" s="62" t="s">
        <v>13</v>
      </c>
      <c r="B27" s="50" t="s">
        <v>14</v>
      </c>
      <c r="C27" s="52" t="str">
        <f>$B$4</f>
        <v>Marcelo Peña</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5" t="str">
        <f>RUBRICA!A7</f>
        <v>3. Relaciona el Proyecto APT con sus intereses profesionales. *</v>
      </c>
      <c r="C31" s="33" t="s">
        <v>7</v>
      </c>
      <c r="D31" s="16"/>
      <c r="E31" s="16" t="str">
        <f>IF(D31="X",100*0.1,"")</f>
        <v/>
      </c>
      <c r="F31" s="16" t="s">
        <v>95</v>
      </c>
      <c r="G31" s="16">
        <f>IF(F31="X",60*0.1,"")</f>
        <v>6</v>
      </c>
      <c r="H31" s="16" t="str">
        <f t="shared" ref="H31:H32" si="25">IF($C31=ML,"X","")</f>
        <v/>
      </c>
      <c r="I31" s="16" t="str">
        <f>IF(H31="X",30*0.1,"")</f>
        <v/>
      </c>
      <c r="J31" s="16" t="str">
        <f t="shared" ref="J31:J32" si="26">IF($C31=NL,"X","")</f>
        <v/>
      </c>
      <c r="K31" s="16" t="str">
        <f t="shared" ref="K31:K32" si="27">IF($J31="X",0,"")</f>
        <v/>
      </c>
    </row>
    <row r="32" spans="1:11" ht="25.9" customHeight="1" x14ac:dyDescent="0.25">
      <c r="A32" s="63"/>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Michael Cisternas</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5" t="str">
        <f>RUBRICA!A7</f>
        <v>3. Relaciona el Proyecto APT con sus intereses profesionales. *</v>
      </c>
      <c r="C43" s="33" t="s">
        <v>7</v>
      </c>
      <c r="D43" s="16"/>
      <c r="E43" s="16" t="str">
        <f>IF(D43="X",100*0.1,"")</f>
        <v/>
      </c>
      <c r="F43" s="16" t="s">
        <v>95</v>
      </c>
      <c r="G43" s="16">
        <f>IF(F43="X",60*0.1,"")</f>
        <v>6</v>
      </c>
      <c r="H43" s="16" t="str">
        <f t="shared" ref="H43:H44" si="31">IF($C43=ML,"X","")</f>
        <v/>
      </c>
      <c r="I43" s="16" t="str">
        <f>IF(H43="X",30*0.1,"")</f>
        <v/>
      </c>
      <c r="J43" s="16" t="str">
        <f t="shared" ref="J43:J44" si="32">IF($C43=NL,"X","")</f>
        <v/>
      </c>
      <c r="K43" s="16" t="str">
        <f t="shared" ref="K43:K44" si="33">IF($J43="X",0,"")</f>
        <v/>
      </c>
    </row>
    <row r="44" spans="1:11" ht="24" x14ac:dyDescent="0.25">
      <c r="A44" s="63"/>
      <c r="B44" s="35" t="str">
        <f>RUBRICA!A15</f>
        <v>11. Expone el tema utilizando un lenguaje técnico disciplinar al presentar la propuesta y responde evidenciando un manejo de la información. *</v>
      </c>
      <c r="C44" s="33" t="s">
        <v>7</v>
      </c>
      <c r="D44" s="16" t="str">
        <f t="shared" ref="D44" si="34">IF($C44=CL,"X","")</f>
        <v>X</v>
      </c>
      <c r="E44" s="16">
        <f>IF(D44="X",100*0.1,"")</f>
        <v>10</v>
      </c>
      <c r="F44" s="16" t="str">
        <f t="shared" ref="F44" si="35">IF($C44=L,"X","")</f>
        <v/>
      </c>
      <c r="G44" s="16" t="str">
        <f>IF(F44="X",60*0.1,"")</f>
        <v/>
      </c>
      <c r="H44" s="16" t="str">
        <f t="shared" si="31"/>
        <v/>
      </c>
      <c r="I44" s="16" t="str">
        <f>IF(H44="X",30*0.1,"")</f>
        <v/>
      </c>
      <c r="J44" s="16" t="str">
        <f t="shared" si="32"/>
        <v/>
      </c>
      <c r="K44" s="16" t="str">
        <f t="shared" si="33"/>
        <v/>
      </c>
    </row>
    <row r="45" spans="1:11" ht="15.75" customHeight="1" x14ac:dyDescent="0.25">
      <c r="A45" s="63"/>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3"/>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2" t="s">
        <v>13</v>
      </c>
      <c r="B50" s="50" t="s">
        <v>14</v>
      </c>
      <c r="C50" s="52">
        <f>B6</f>
        <v>0</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5" t="str">
        <f>RUBRICA!A7</f>
        <v>3. Relaciona el Proyecto APT con sus intereses profesionales. *</v>
      </c>
      <c r="C54" s="33" t="s">
        <v>7</v>
      </c>
      <c r="D54" s="16"/>
      <c r="E54" s="16" t="str">
        <f>IF(D54="X",100*0.1,"")</f>
        <v/>
      </c>
      <c r="F54" s="16" t="s">
        <v>95</v>
      </c>
      <c r="G54" s="16">
        <f>IF(F54="X",60*0.1,"")</f>
        <v>6</v>
      </c>
      <c r="H54" s="16" t="str">
        <f t="shared" ref="H54:H55" si="39">IF($C54=ML,"X","")</f>
        <v/>
      </c>
      <c r="I54" s="16" t="str">
        <f>IF(H54="X",30*0.1,"")</f>
        <v/>
      </c>
      <c r="J54" s="16" t="str">
        <f t="shared" ref="J54:J55" si="40">IF($C54=NL,"X","")</f>
        <v/>
      </c>
      <c r="K54" s="16" t="str">
        <f t="shared" ref="K54:K55" si="41">IF($J54="X",0,"")</f>
        <v/>
      </c>
    </row>
    <row r="55" spans="1:11" ht="24" x14ac:dyDescent="0.25">
      <c r="A55" s="63"/>
      <c r="B55" s="35" t="str">
        <f>RUBRICA!A15</f>
        <v>11. Expone el tema utilizando un lenguaje técnico disciplinar al presentar la propuesta y responde evidenciando un manejo de la información. *</v>
      </c>
      <c r="C55" s="33" t="s">
        <v>7</v>
      </c>
      <c r="D55" s="16" t="str">
        <f t="shared" ref="D55" si="42">IF($C55=CL,"X","")</f>
        <v>X</v>
      </c>
      <c r="E55" s="16">
        <f>IF(D55="X",100*0.1,"")</f>
        <v>10</v>
      </c>
      <c r="F55" s="16" t="str">
        <f t="shared" ref="F55" si="43">IF($C55=L,"X","")</f>
        <v/>
      </c>
      <c r="G55" s="16" t="str">
        <f>IF(F55="X",60*0.1,"")</f>
        <v/>
      </c>
      <c r="H55" s="16" t="str">
        <f t="shared" si="39"/>
        <v/>
      </c>
      <c r="I55" s="16" t="str">
        <f>IF(H55="X",30*0.1,"")</f>
        <v/>
      </c>
      <c r="J55" s="16" t="str">
        <f t="shared" si="40"/>
        <v/>
      </c>
      <c r="K55" s="16" t="str">
        <f t="shared" si="41"/>
        <v/>
      </c>
    </row>
    <row r="56" spans="1:11" ht="15.75" customHeight="1" x14ac:dyDescent="0.25">
      <c r="A56" s="63"/>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3"/>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2025-09-27T01:36:18Z</dcterms:modified>
  <cp:category/>
  <cp:contentStatus/>
</cp:coreProperties>
</file>