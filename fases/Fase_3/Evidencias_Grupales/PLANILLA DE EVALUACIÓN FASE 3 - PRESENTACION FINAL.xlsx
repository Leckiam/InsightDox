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5 InsightDox\Evidencias grupales\"/>
    </mc:Choice>
  </mc:AlternateContent>
  <xr:revisionPtr revIDLastSave="0" documentId="13_ncr:1_{26D19271-F2A5-494E-993C-1366C0A89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G82" i="1"/>
  <c r="E82" i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E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D14" i="1"/>
  <c r="E14" i="1" s="1"/>
  <c r="D15" i="1"/>
  <c r="E15" i="1" s="1"/>
  <c r="E16" i="1"/>
  <c r="E17" i="1"/>
  <c r="D18" i="1"/>
  <c r="E18" i="1" s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<sst xmlns="http://schemas.openxmlformats.org/spreadsheetml/2006/main" count="182" uniqueCount="66">
  <si>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</si>
  <si>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</si>
  <si>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</si>
  <si>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</si>
  <si>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</si>
  <si>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</si>
  <si>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</si>
  <si>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</si>
  <si>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</si>
  <si>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</si>
  <si>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</si>
  <si>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</si>
  <si>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</si>
  <si>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</si>
  <si>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</si>
  <si>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</si>
  <si>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</si>
  <si>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</si>
  <si>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</si>
  <si>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</si>
  <si>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</si>
  <si>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</si>
  <si>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</si>
  <si>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</si>
  <si>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</si>
  <si>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</si>
  <si>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</si>
  <si>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</si>
  <si>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</si>
  <si>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</si>
  <si>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</si>
  <si>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</si>
  <si>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</si>
  <si>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</si>
  <si>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</si>
  <si>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</si>
  <si>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</si>
  <si>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</si>
  <si>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</si>
  <si>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</si>
  <si>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</si>
  <si>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</si>
  <si>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</si>
  <si>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</si>
  <si>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</si>
  <si>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</si>
  <si>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</si>
  <si>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</si>
  <si>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</si>
  <si>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</si>
  <si>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</si>
  <si>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</si>
  <si>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</si>
  <si>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</si>
  <si>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</si>
  <si>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</si>
  <si>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</si>
  <si>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</si>
  <si>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</si>
  <si>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</si>
  <si>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</si>
  <si>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</si>
  <si>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</si>
  <si>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Mikel Cisternas</t>
  </si>
  <si>
    <t>Marcelo Peña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</si>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</sst>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41" zoomScale="120" zoomScaleNormal="120" workbookViewId="0">
      <selection activeCell="E82" sqref="E8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6.1</v>
      </c>
      <c r="D4" s="37">
        <f>C60</f>
        <v>6.1</v>
      </c>
      <c r="E4" s="36">
        <f>C4*C$2+D4*D$2</f>
        <v>6.1</v>
      </c>
    </row>
    <row r="5" spans="1:11" ht="14.4" x14ac:dyDescent="0.3">
      <c r="A5" s="3">
        <v>2</v>
      </c>
      <c r="B5" s="16" t="s">
        <v>64</v>
      </c>
      <c r="C5" s="31">
        <f>C34</f>
        <v>6.1</v>
      </c>
      <c r="D5" s="37">
        <f>C73</f>
        <v>6.1</v>
      </c>
      <c r="E5" s="36">
        <f t="shared" ref="E5:E6" si="0">C5*C$2+D5*D$2</f>
        <v>6.1</v>
      </c>
    </row>
    <row r="6" spans="1:11" ht="14.4" x14ac:dyDescent="0.3">
      <c r="A6" s="3">
        <v>3</v>
      </c>
      <c r="B6" s="16"/>
      <c r="C6" s="31">
        <f>C47</f>
        <v>6.1</v>
      </c>
      <c r="D6" s="37">
        <f>C86</f>
        <v>6.1</v>
      </c>
      <c r="E6" s="36">
        <f t="shared" si="0"/>
        <v>6.1</v>
      </c>
    </row>
    <row r="7" spans="1:11" ht="15" customHeight="1" x14ac:dyDescent="0.3">
      <c r="B7" s="39"/>
    </row>
    <row r="11" spans="1:11" ht="18" outlineLevel="1" x14ac:dyDescent="0.3">
      <c r="A11" s="49" t="s">
        <v>4</v>
      </c>
      <c r="B11" s="11" t="str">
        <f>B4</f>
        <v>Mikel Cisternas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65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ref="D14:D15" si="4">IF($C14=CL,"X","")</f>
        <v>X</v>
      </c>
      <c r="E14" s="12">
        <f>IF(D14="X",100*0.25,"")</f>
        <v>25</v>
      </c>
      <c r="F14" s="12" t="str">
        <f t="shared" ref="F14:F15" si="5">IF($C14=L,"X","")</f>
        <v/>
      </c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4"/>
        <v>X</v>
      </c>
      <c r="E15" s="12">
        <f>IF(D15="X",100*0.2,"")</f>
        <v>20</v>
      </c>
      <c r="F15" s="12" t="str">
        <f t="shared" si="5"/>
        <v/>
      </c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65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65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65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9" t="s">
        <v>4</v>
      </c>
      <c r="B24" s="11" t="str">
        <f>B5</f>
        <v>Marcelo Peña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65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6:D30" si="10">IF($C27=CL,"X","")</f>
        <v>X</v>
      </c>
      <c r="E27" s="12">
        <f>IF(D27="X",100*0.25,"")</f>
        <v>25</v>
      </c>
      <c r="F27" s="12" t="str">
        <f t="shared" ref="F26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10"/>
        <v>X</v>
      </c>
      <c r="E28" s="12">
        <f>IF(D28="X",100*0.2,"")</f>
        <v>20</v>
      </c>
      <c r="F28" s="12" t="str">
        <f t="shared" si="11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65</v>
      </c>
      <c r="G30" s="12">
        <f>IF(F30="X",60*0.05,"")</f>
        <v>3</v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65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41"/>
      <c r="B33" s="18" t="s">
        <v>12</v>
      </c>
      <c r="C33" s="22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6.1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9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65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39:D43" si="15">IF($C40=CL,"X","")</f>
        <v>X</v>
      </c>
      <c r="E40" s="12">
        <f>IF(D40="X",100*0.25,"")</f>
        <v>25</v>
      </c>
      <c r="F40" s="12" t="str">
        <f t="shared" ref="F39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5"/>
        <v>X</v>
      </c>
      <c r="E41" s="12">
        <f>IF(D41="X",100*0.2,"")</f>
        <v>20</v>
      </c>
      <c r="F41" s="12" t="str">
        <f t="shared" si="16"/>
        <v/>
      </c>
      <c r="G41" s="12" t="str">
        <f>IF(F41="X",60*0.2,"")</f>
        <v/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65</v>
      </c>
      <c r="G43" s="12">
        <f>IF(F43="X",60*0.05,"")</f>
        <v>3</v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65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5">
      <c r="A46" s="41"/>
      <c r="B46" s="18" t="s">
        <v>12</v>
      </c>
      <c r="C46" s="22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6.1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0" t="s">
        <v>14</v>
      </c>
      <c r="B50" s="11" t="str">
        <f>B4</f>
        <v>Mikel Cisternas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65</v>
      </c>
      <c r="G52" s="12">
        <f>IF(F52="X",60*0.15,"")</f>
        <v>9</v>
      </c>
      <c r="H52" s="12" t="str">
        <f t="shared" ref="H52:H56" si="17">IF($C52=ML,"X","")</f>
        <v/>
      </c>
      <c r="I52" s="12" t="str">
        <f>IF(H52="X",30*0.15,"")</f>
        <v/>
      </c>
      <c r="J52" s="12" t="str">
        <f t="shared" ref="J52:J56" si="18">IF($C52=NL,"X","")</f>
        <v/>
      </c>
      <c r="K52" s="12" t="str">
        <f t="shared" ref="K52:K58" si="19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ref="D52:D56" si="20">IF($C53=CL,"X","")</f>
        <v>X</v>
      </c>
      <c r="E53" s="12">
        <f>IF(D53="X",100*0.25,"")</f>
        <v>25</v>
      </c>
      <c r="F53" s="12" t="str">
        <f t="shared" ref="F52:F56" si="21">IF($C53=L,"X","")</f>
        <v/>
      </c>
      <c r="G53" s="12" t="str">
        <f>IF(F53="X",60*0.25,"")</f>
        <v/>
      </c>
      <c r="H53" s="12" t="str">
        <f t="shared" si="17"/>
        <v/>
      </c>
      <c r="I53" s="12" t="str">
        <f>IF(H53="X",30*0.25,"")</f>
        <v/>
      </c>
      <c r="J53" s="12" t="str">
        <f t="shared" si="18"/>
        <v/>
      </c>
      <c r="K53" s="12" t="str">
        <f t="shared" si="19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20"/>
        <v>X</v>
      </c>
      <c r="E54" s="12">
        <f>IF(D54="X",100*0.2,"")</f>
        <v>20</v>
      </c>
      <c r="F54" s="12" t="str">
        <f t="shared" si="21"/>
        <v/>
      </c>
      <c r="G54" s="12" t="str">
        <f>IF(F54="X",60*0.2,"")</f>
        <v/>
      </c>
      <c r="H54" s="12" t="str">
        <f t="shared" si="17"/>
        <v/>
      </c>
      <c r="I54" s="12" t="str">
        <f>IF(H54="X",30*0.2,"")</f>
        <v/>
      </c>
      <c r="J54" s="12" t="str">
        <f t="shared" si="18"/>
        <v/>
      </c>
      <c r="K54" s="12" t="str">
        <f t="shared" si="19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20"/>
        <v>X</v>
      </c>
      <c r="E55" s="12">
        <f>IF(D55="X",100*0.05,"")</f>
        <v>5</v>
      </c>
      <c r="F55" s="12" t="str">
        <f t="shared" si="21"/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65</v>
      </c>
      <c r="G56" s="12">
        <f>IF(F56="X",60*0.05,"")</f>
        <v>3</v>
      </c>
      <c r="H56" s="12" t="str">
        <f t="shared" si="17"/>
        <v/>
      </c>
      <c r="I56" s="12" t="str">
        <f>IF(H56="X",30*0.05,"")</f>
        <v/>
      </c>
      <c r="J56" s="12" t="str">
        <f t="shared" si="18"/>
        <v/>
      </c>
      <c r="K56" s="12" t="str">
        <f t="shared" si="19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9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65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9"/>
        <v/>
      </c>
    </row>
    <row r="59" spans="1:11" ht="24" customHeight="1" x14ac:dyDescent="0.35">
      <c r="A59" s="41"/>
      <c r="B59" s="18" t="s">
        <v>12</v>
      </c>
      <c r="C59" s="22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6.1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0" t="s">
        <v>15</v>
      </c>
      <c r="B63" s="11" t="str">
        <f>B5</f>
        <v>Marcelo Peña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65</v>
      </c>
      <c r="G65" s="12">
        <f>IF(F65="X",60*0.15,"")</f>
        <v>9</v>
      </c>
      <c r="H65" s="12" t="str">
        <f t="shared" ref="H65:H69" si="22">IF($C65=ML,"X","")</f>
        <v/>
      </c>
      <c r="I65" s="12" t="str">
        <f>IF(H65="X",30*0.15,"")</f>
        <v/>
      </c>
      <c r="J65" s="12" t="str">
        <f t="shared" ref="J65:J69" si="23">IF($C65=NL,"X","")</f>
        <v/>
      </c>
      <c r="K65" s="12" t="str">
        <f t="shared" ref="K65:K71" si="24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5:D69" si="25">IF($C66=CL,"X","")</f>
        <v>X</v>
      </c>
      <c r="E66" s="12">
        <f>IF(D66="X",100*0.25,"")</f>
        <v>25</v>
      </c>
      <c r="F66" s="12" t="str">
        <f t="shared" ref="F65:F69" si="26">IF($C66=L,"X","")</f>
        <v/>
      </c>
      <c r="G66" s="12" t="str">
        <f>IF(F66="X",60*0.25,"")</f>
        <v/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5"/>
        <v>X</v>
      </c>
      <c r="E67" s="12">
        <f>IF(D67="X",100*0.2,"")</f>
        <v>20</v>
      </c>
      <c r="F67" s="12" t="str">
        <f t="shared" si="26"/>
        <v/>
      </c>
      <c r="G67" s="12" t="str">
        <f>IF(F67="X",60*0.2,"")</f>
        <v/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5"/>
        <v>X</v>
      </c>
      <c r="E68" s="12">
        <f>IF(D68="X",100*0.05,"")</f>
        <v>5</v>
      </c>
      <c r="F68" s="12" t="str">
        <f t="shared" si="26"/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65</v>
      </c>
      <c r="G69" s="12">
        <f>IF(F69="X",60*0.05,"")</f>
        <v>3</v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4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65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4"/>
        <v/>
      </c>
    </row>
    <row r="72" spans="1:11" ht="24" customHeight="1" x14ac:dyDescent="0.35">
      <c r="A72" s="41"/>
      <c r="B72" s="18" t="s">
        <v>12</v>
      </c>
      <c r="C72" s="22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6.1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0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65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8:D82" si="30">IF($C79=CL,"X","")</f>
        <v>X</v>
      </c>
      <c r="E79" s="12">
        <f>IF(D79="X",100*0.25,"")</f>
        <v>25</v>
      </c>
      <c r="F79" s="12" t="str">
        <f t="shared" ref="F78:F82" si="31">IF($C79=L,"X","")</f>
        <v/>
      </c>
      <c r="G79" s="12" t="str">
        <f>IF(F79="X",60*0.25,"")</f>
        <v/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30"/>
        <v>X</v>
      </c>
      <c r="E80" s="12">
        <f>IF(D80="X",100*0.2,"")</f>
        <v>20</v>
      </c>
      <c r="F80" s="12" t="str">
        <f t="shared" si="31"/>
        <v/>
      </c>
      <c r="G80" s="12" t="str">
        <f>IF(F80="X",60*0.2,"")</f>
        <v/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30"/>
        <v>X</v>
      </c>
      <c r="E81" s="12">
        <f>IF(D81="X",100*0.05,"")</f>
        <v>5</v>
      </c>
      <c r="F81" s="12" t="str">
        <f t="shared" si="31"/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65</v>
      </c>
      <c r="G82" s="12">
        <f>IF(F82="X",60*0.05,"")</f>
        <v>3</v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65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5">
      <c r="A85" s="41"/>
      <c r="B85" s="18" t="s">
        <v>12</v>
      </c>
      <c r="C85" s="22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6.1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2025-12-02T17:14:59Z</dcterms:modified>
  <cp:category/>
  <cp:contentStatus/>
</cp:coreProperties>
</file>