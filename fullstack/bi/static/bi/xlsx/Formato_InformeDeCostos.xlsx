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ÉNIX INGENIERÍA Y SERVICIOS LIMITADA\ANTIÁCIDOS - 4600028501\05 - FORMATOS\"/>
    </mc:Choice>
  </mc:AlternateContent>
  <xr:revisionPtr revIDLastSave="0" documentId="13_ncr:1_{9C48AFDC-6D06-4037-BED7-4DDDDD6F8A08}" xr6:coauthVersionLast="47" xr6:coauthVersionMax="47" xr10:uidLastSave="{00000000-0000-0000-0000-000000000000}"/>
  <bookViews>
    <workbookView xWindow="-108" yWindow="-108" windowWidth="23256" windowHeight="12456" xr2:uid="{874AE092-ED03-43DC-83C1-E36C9BB98B09}"/>
  </bookViews>
  <sheets>
    <sheet name="EP N°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J16" i="1"/>
  <c r="J97" i="1"/>
  <c r="N11" i="1" l="1"/>
  <c r="M11" i="1"/>
  <c r="M10" i="1"/>
  <c r="M8" i="1"/>
  <c r="M9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57" i="1"/>
  <c r="J56" i="1"/>
  <c r="J55" i="1"/>
  <c r="J54" i="1"/>
  <c r="J53" i="1"/>
  <c r="J52" i="1"/>
  <c r="J51" i="1"/>
  <c r="J50" i="1"/>
  <c r="O15" i="1" s="1"/>
  <c r="J49" i="1"/>
  <c r="J48" i="1"/>
  <c r="J47" i="1"/>
  <c r="J46" i="1"/>
  <c r="J45" i="1"/>
  <c r="J44" i="1"/>
  <c r="J43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2" i="1"/>
  <c r="J13" i="1"/>
  <c r="J14" i="1"/>
  <c r="J15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78" i="1"/>
  <c r="L15" i="1" s="1"/>
  <c r="J79" i="1"/>
  <c r="M15" i="1" s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4" i="1"/>
  <c r="J95" i="1"/>
  <c r="J96" i="1"/>
  <c r="J98" i="1"/>
  <c r="J99" i="1"/>
  <c r="J93" i="1"/>
  <c r="Q15" i="1" l="1"/>
  <c r="N15" i="1"/>
  <c r="P15" i="1"/>
  <c r="R15" i="1" s="1"/>
  <c r="S15" i="1" l="1"/>
  <c r="S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Carlos</author>
  </authors>
  <commentList>
    <comment ref="G9" authorId="0" shapeId="0" xr:uid="{C1327639-73B2-407F-AFBD-9CABB34AD7F5}">
      <text>
        <r>
          <rPr>
            <sz val="9"/>
            <color indexed="81"/>
            <rFont val="Trebuchet MS"/>
            <family val="2"/>
          </rPr>
          <t>Corresponde a las fechas del EdP.</t>
        </r>
      </text>
    </comment>
    <comment ref="E11" authorId="0" shapeId="0" xr:uid="{F72AAB11-4F29-4B91-BBB2-65B7258007D9}">
      <text>
        <r>
          <rPr>
            <sz val="9"/>
            <color indexed="81"/>
            <rFont val="Tahoma"/>
            <family val="2"/>
          </rPr>
          <t xml:space="preserve">Se debe clasificar el dato ingresado en una de las siguientes categorias:
</t>
        </r>
        <r>
          <rPr>
            <b/>
            <sz val="9"/>
            <color indexed="81"/>
            <rFont val="Tahoma"/>
            <family val="2"/>
          </rPr>
          <t>EdP</t>
        </r>
        <r>
          <rPr>
            <sz val="9"/>
            <color indexed="81"/>
            <rFont val="Tahoma"/>
            <family val="2"/>
          </rPr>
          <t xml:space="preserve"> (Estado de Pago)
</t>
        </r>
        <r>
          <rPr>
            <b/>
            <sz val="9"/>
            <color indexed="81"/>
            <rFont val="Tahoma"/>
            <family val="2"/>
          </rPr>
          <t>MO</t>
        </r>
        <r>
          <rPr>
            <sz val="9"/>
            <color indexed="81"/>
            <rFont val="Tahoma"/>
            <family val="2"/>
          </rPr>
          <t xml:space="preserve"> (Mano de obra)
</t>
        </r>
        <r>
          <rPr>
            <b/>
            <sz val="9"/>
            <color indexed="81"/>
            <rFont val="Tahoma"/>
            <family val="2"/>
          </rPr>
          <t>EPP</t>
        </r>
        <r>
          <rPr>
            <sz val="9"/>
            <color indexed="81"/>
            <rFont val="Tahoma"/>
            <family val="2"/>
          </rPr>
          <t xml:space="preserve"> (Elementos de protección personal)
</t>
        </r>
        <r>
          <rPr>
            <b/>
            <sz val="9"/>
            <color indexed="81"/>
            <rFont val="Tahoma"/>
            <family val="2"/>
          </rPr>
          <t>M</t>
        </r>
        <r>
          <rPr>
            <sz val="9"/>
            <color indexed="81"/>
            <rFont val="Tahoma"/>
            <family val="2"/>
          </rPr>
          <t xml:space="preserve"> (Material)
</t>
        </r>
        <r>
          <rPr>
            <b/>
            <sz val="9"/>
            <color indexed="81"/>
            <rFont val="Tahoma"/>
            <family val="2"/>
          </rPr>
          <t>H</t>
        </r>
        <r>
          <rPr>
            <sz val="9"/>
            <color indexed="81"/>
            <rFont val="Tahoma"/>
            <family val="2"/>
          </rPr>
          <t xml:space="preserve"> (Herramienta)
</t>
        </r>
        <r>
          <rPr>
            <b/>
            <sz val="9"/>
            <color indexed="81"/>
            <rFont val="Tahoma"/>
            <family val="2"/>
          </rPr>
          <t>GG</t>
        </r>
        <r>
          <rPr>
            <sz val="9"/>
            <color indexed="81"/>
            <rFont val="Tahoma"/>
            <family val="2"/>
          </rPr>
          <t xml:space="preserve"> (Gastos Generales)
</t>
        </r>
        <r>
          <rPr>
            <b/>
            <sz val="9"/>
            <color indexed="81"/>
            <rFont val="Tahoma"/>
            <family val="2"/>
          </rPr>
          <t>Importante:</t>
        </r>
        <r>
          <rPr>
            <sz val="9"/>
            <color indexed="81"/>
            <rFont val="Tahoma"/>
            <family val="2"/>
          </rPr>
          <t xml:space="preserve">
La formula en la tabla resumen funcionará siempre y cuando utilicen estas siglas!</t>
        </r>
      </text>
    </comment>
    <comment ref="F11" authorId="0" shapeId="0" xr:uid="{287CA167-4CA6-4D6D-9DC7-B835C1D06DE6}">
      <text>
        <r>
          <rPr>
            <sz val="9"/>
            <color indexed="81"/>
            <rFont val="Tahoma"/>
            <family val="2"/>
          </rPr>
          <t xml:space="preserve">Se debe clasificar el dato en una de los siguientes tipos:
</t>
        </r>
        <r>
          <rPr>
            <b/>
            <sz val="9"/>
            <color indexed="81"/>
            <rFont val="Tahoma"/>
            <family val="2"/>
          </rPr>
          <t>Ingreso</t>
        </r>
        <r>
          <rPr>
            <sz val="9"/>
            <color indexed="81"/>
            <rFont val="Tahoma"/>
            <family val="2"/>
          </rPr>
          <t xml:space="preserve"> (EdP).
</t>
        </r>
        <r>
          <rPr>
            <b/>
            <sz val="9"/>
            <color indexed="81"/>
            <rFont val="Tahoma"/>
            <family val="2"/>
          </rPr>
          <t>Egreso</t>
        </r>
        <r>
          <rPr>
            <sz val="9"/>
            <color indexed="81"/>
            <rFont val="Tahoma"/>
            <family val="2"/>
          </rPr>
          <t xml:space="preserve"> (MO, EPP, M, H y GG).
La formula en la tabla resumen funcionará siempre y cuando utilicen estas palabras!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<sst xmlns="http://schemas.openxmlformats.org/spreadsheetml/2006/main" count="29" uniqueCount="26">
  <si>
    <t xml:space="preserve">Descripción </t>
  </si>
  <si>
    <t>Categoria</t>
  </si>
  <si>
    <t>Tipo</t>
  </si>
  <si>
    <t>Egresos</t>
  </si>
  <si>
    <t>Rentabilidad</t>
  </si>
  <si>
    <t>Precio  unitario</t>
  </si>
  <si>
    <t>Unidad</t>
  </si>
  <si>
    <t>Total</t>
  </si>
  <si>
    <t>Registro de ingresos y egresos</t>
  </si>
  <si>
    <t>Fecha</t>
  </si>
  <si>
    <t xml:space="preserve">Contrato: </t>
  </si>
  <si>
    <t xml:space="preserve">N° Contrato: </t>
  </si>
  <si>
    <t>N°</t>
  </si>
  <si>
    <t>Balance Ingresos v/s Egresos</t>
  </si>
  <si>
    <t>GG</t>
  </si>
  <si>
    <t>M</t>
  </si>
  <si>
    <t>H</t>
  </si>
  <si>
    <t>EPP</t>
  </si>
  <si>
    <t>Periodo:</t>
  </si>
  <si>
    <t>N.° EdP:</t>
  </si>
  <si>
    <t>MO</t>
  </si>
  <si>
    <t>Total Egresos</t>
  </si>
  <si>
    <t>Utilidad</t>
  </si>
  <si>
    <t>Total Ingresos</t>
  </si>
  <si>
    <t>EdP N.°:</t>
  </si>
  <si>
    <t>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</si>
</sst>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b/>
      <u/>
      <sz val="12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sz val="11"/>
      <name val="Trebuchet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6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42" fontId="5" fillId="0" borderId="1" xfId="1" applyFont="1" applyBorder="1" applyAlignment="1" applyProtection="1">
      <alignment horizontal="center" vertical="center"/>
    </xf>
    <xf numFmtId="0" fontId="0" fillId="0" borderId="0" xfId="0" applyProtection="1"/>
    <xf numFmtId="0" fontId="5" fillId="0" borderId="0" xfId="0" applyFont="1" applyProtection="1"/>
    <xf numFmtId="0" fontId="4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/>
    </xf>
    <xf numFmtId="0" fontId="6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14" fontId="5" fillId="0" borderId="0" xfId="0" applyNumberFormat="1" applyFont="1" applyAlignment="1" applyProtection="1">
      <alignment horizontal="left" vertical="center"/>
    </xf>
    <xf numFmtId="0" fontId="5" fillId="0" borderId="0" xfId="0" applyFont="1" applyBorder="1" applyProtection="1"/>
    <xf numFmtId="0" fontId="2" fillId="0" borderId="0" xfId="0" applyFont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left" vertical="center"/>
    </xf>
    <xf numFmtId="42" fontId="7" fillId="3" borderId="1" xfId="1" applyFont="1" applyFill="1" applyBorder="1" applyAlignment="1" applyProtection="1">
      <alignment horizontal="center"/>
    </xf>
    <xf numFmtId="0" fontId="5" fillId="0" borderId="1" xfId="0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center"/>
    </xf>
    <xf numFmtId="42" fontId="3" fillId="2" borderId="1" xfId="1" applyFont="1" applyFill="1" applyBorder="1" applyProtection="1"/>
    <xf numFmtId="42" fontId="5" fillId="2" borderId="1" xfId="1" applyFont="1" applyFill="1" applyBorder="1" applyAlignment="1" applyProtection="1">
      <alignment horizontal="center" vertical="center"/>
    </xf>
    <xf numFmtId="164" fontId="5" fillId="0" borderId="1" xfId="1" applyNumberFormat="1" applyFont="1" applyBorder="1" applyAlignment="1" applyProtection="1">
      <alignment horizontal="right" vertical="center"/>
    </xf>
    <xf numFmtId="9" fontId="3" fillId="0" borderId="1" xfId="2" applyFont="1" applyBorder="1" applyAlignment="1" applyProtection="1">
      <alignment horizontal="center" vertical="center"/>
    </xf>
    <xf numFmtId="14" fontId="5" fillId="0" borderId="3" xfId="0" applyNumberFormat="1" applyFont="1" applyBorder="1" applyAlignment="1" applyProtection="1">
      <alignment vertical="center"/>
    </xf>
    <xf numFmtId="14" fontId="5" fillId="0" borderId="1" xfId="0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s-CL" b="1">
                <a:solidFill>
                  <a:sysClr val="windowText" lastClr="000000"/>
                </a:solidFill>
                <a:latin typeface="Trebuchet MS" panose="020B0603020202020204" pitchFamily="34" charset="0"/>
              </a:rPr>
              <a:t>DESGLOSE DE COSTOS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A3-4D12-AA49-907341B8B0E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3-4D12-AA49-907341B8B0E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A3-4D12-AA49-907341B8B0E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A3-4D12-AA49-907341B8B0E3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5A3-4D12-AA49-907341B8B0E3}"/>
              </c:ext>
            </c:extLst>
          </c:dPt>
          <c:dLbls>
            <c:numFmt formatCode="0.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anchor="b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'EP N°_'!$M$14:$Q$14</c:f>
              <c:strCache>
                <c:ptCount val="5"/>
                <c:pt idx="0">
                  <c:v>MO</c:v>
                </c:pt>
                <c:pt idx="1">
                  <c:v>M</c:v>
                </c:pt>
                <c:pt idx="2">
                  <c:v>H</c:v>
                </c:pt>
                <c:pt idx="3">
                  <c:v>EPP</c:v>
                </c:pt>
                <c:pt idx="4">
                  <c:v>GG</c:v>
                </c:pt>
              </c:strCache>
            </c:strRef>
          </c:cat>
          <c:val>
            <c:numRef>
              <c:f>'EP N°_'!$M$15:$Q$15</c:f>
              <c:numCache>
                <c:formatCode>_("$"* #,##0_);_("$"* \(#,##0\);_("$"*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3-4D12-AA49-907341B8B0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L" sz="1400">
                <a:solidFill>
                  <a:sysClr val="windowText" lastClr="000000"/>
                </a:solidFill>
                <a:latin typeface="Trebuchet MS" panose="020B0603020202020204" pitchFamily="34" charset="0"/>
              </a:rPr>
              <a:t>Ingresos v/s Egresos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FF8B8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2C9-470C-8D4D-27158066D7E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FEE2E43-D41E-45A0-9A84-C1AF1989EEF3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2C9-470C-8D4D-27158066D7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20D385-8E6A-43E9-A5DE-28673050EFE5}" type="VALU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2C9-470C-8D4D-27158066D7EA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b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('EP N°_'!$L$13,'EP N°_'!$R$13)</c:f>
              <c:strCache>
                <c:ptCount val="2"/>
                <c:pt idx="0">
                  <c:v>Total Ingresos</c:v>
                </c:pt>
                <c:pt idx="1">
                  <c:v>Total Egresos</c:v>
                </c:pt>
              </c:strCache>
            </c:strRef>
          </c:cat>
          <c:val>
            <c:numRef>
              <c:f>('EP N°_'!$L$15,'EP N°_'!$R$15)</c:f>
              <c:numCache>
                <c:formatCode>_("$"* #,##0_);_("$"* \(#,##0\);_("$"* "-"_);_(@_)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9-470C-8D4D-27158066D7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21538832"/>
        <c:axId val="4215396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('EP N°_'!$L$13,'EP N°_'!$R$13)</c15:sqref>
                        </c15:formulaRef>
                      </c:ext>
                    </c:extLst>
                    <c:strCache>
                      <c:ptCount val="2"/>
                      <c:pt idx="0">
                        <c:v>Total Ingresos</c:v>
                      </c:pt>
                      <c:pt idx="1">
                        <c:v>Total Egresos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('EP N°_'!$L$14,'EP N°_'!$R$14)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2C9-470C-8D4D-27158066D7EA}"/>
                  </c:ext>
                </c:extLst>
              </c15:ser>
            </c15:filteredBarSeries>
          </c:ext>
        </c:extLst>
      </c:barChart>
      <c:catAx>
        <c:axId val="42153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s-CL"/>
          </a:p>
        </c:txPr>
        <c:crossAx val="421539664"/>
        <c:crosses val="autoZero"/>
        <c:auto val="1"/>
        <c:lblAlgn val="ctr"/>
        <c:lblOffset val="100"/>
        <c:noMultiLvlLbl val="0"/>
      </c:catAx>
      <c:valAx>
        <c:axId val="421539664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42153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30480</xdr:rowOff>
    </xdr:from>
    <xdr:to>
      <xdr:col>3</xdr:col>
      <xdr:colOff>609598</xdr:colOff>
      <xdr:row>4</xdr:row>
      <xdr:rowOff>158448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01119-B545-4909-A830-682279CC0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30480"/>
          <a:ext cx="1592578" cy="859488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0</xdr:row>
      <xdr:rowOff>30480</xdr:rowOff>
    </xdr:from>
    <xdr:to>
      <xdr:col>12</xdr:col>
      <xdr:colOff>662938</xdr:colOff>
      <xdr:row>4</xdr:row>
      <xdr:rowOff>158448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1FA4EF7-D115-42D4-965D-62E5332E6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30480"/>
          <a:ext cx="1592578" cy="859488"/>
        </a:xfrm>
        <a:prstGeom prst="rect">
          <a:avLst/>
        </a:prstGeom>
      </xdr:spPr>
    </xdr:pic>
    <xdr:clientData/>
  </xdr:twoCellAnchor>
  <xdr:twoCellAnchor>
    <xdr:from>
      <xdr:col>11</xdr:col>
      <xdr:colOff>53340</xdr:colOff>
      <xdr:row>18</xdr:row>
      <xdr:rowOff>114300</xdr:rowOff>
    </xdr:from>
    <xdr:to>
      <xdr:col>14</xdr:col>
      <xdr:colOff>518160</xdr:colOff>
      <xdr:row>32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A2E157-2487-407E-9771-8762C6568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891540</xdr:colOff>
      <xdr:row>20</xdr:row>
      <xdr:rowOff>22860</xdr:rowOff>
    </xdr:from>
    <xdr:to>
      <xdr:col>18</xdr:col>
      <xdr:colOff>960120</xdr:colOff>
      <xdr:row>32</xdr:row>
      <xdr:rowOff>83820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42F65FC-D54B-41BC-A429-AF9E7894A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83820</xdr:colOff>
      <xdr:row>29</xdr:row>
      <xdr:rowOff>99060</xdr:rowOff>
    </xdr:from>
    <xdr:to>
      <xdr:col>12</xdr:col>
      <xdr:colOff>76200</xdr:colOff>
      <xdr:row>32</xdr:row>
      <xdr:rowOff>56244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E5D0109-14A5-4A6E-8A84-FDE30EA41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940" y="5585460"/>
          <a:ext cx="937260" cy="505824"/>
        </a:xfrm>
        <a:prstGeom prst="rect">
          <a:avLst/>
        </a:prstGeom>
      </xdr:spPr>
    </xdr:pic>
    <xdr:clientData/>
  </xdr:twoCellAnchor>
  <xdr:twoCellAnchor editAs="oneCell">
    <xdr:from>
      <xdr:col>14</xdr:col>
      <xdr:colOff>922020</xdr:colOff>
      <xdr:row>20</xdr:row>
      <xdr:rowOff>53340</xdr:rowOff>
    </xdr:from>
    <xdr:to>
      <xdr:col>15</xdr:col>
      <xdr:colOff>426720</xdr:colOff>
      <xdr:row>21</xdr:row>
      <xdr:rowOff>150103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AF3786A-1985-4030-B96B-D2518E72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2940" y="3893820"/>
          <a:ext cx="518160" cy="279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9D2E-3812-4E1E-A059-917D64C8B70B}">
  <dimension ref="B2:S111"/>
  <sheetViews>
    <sheetView showGridLines="0" tabSelected="1" zoomScaleNormal="100" workbookViewId="0">
      <selection activeCell="F18" sqref="F18"/>
    </sheetView>
  </sheetViews>
  <sheetFormatPr baseColWidth="10" defaultRowHeight="14.4" x14ac:dyDescent="0.3"/>
  <cols>
    <col min="1" max="1" width="5.77734375" style="4" customWidth="1"/>
    <col min="2" max="2" width="4" style="4" bestFit="1" customWidth="1"/>
    <col min="3" max="3" width="10.5546875" style="4" bestFit="1" customWidth="1"/>
    <col min="4" max="4" width="33.77734375" style="4" customWidth="1"/>
    <col min="5" max="5" width="9.88671875" style="4" bestFit="1" customWidth="1"/>
    <col min="6" max="6" width="7.44140625" style="4" bestFit="1" customWidth="1"/>
    <col min="7" max="7" width="5.33203125" style="4" bestFit="1" customWidth="1"/>
    <col min="8" max="8" width="7.44140625" style="4" bestFit="1" customWidth="1"/>
    <col min="9" max="10" width="14.77734375" style="4" customWidth="1"/>
    <col min="11" max="11" width="5.77734375" style="4" customWidth="1"/>
    <col min="12" max="12" width="13.77734375" style="4" customWidth="1"/>
    <col min="13" max="17" width="14.77734375" style="4" customWidth="1"/>
    <col min="18" max="18" width="13.77734375" style="4" customWidth="1"/>
    <col min="19" max="19" width="14.5546875" style="4" customWidth="1"/>
    <col min="20" max="16384" width="11.5546875" style="4"/>
  </cols>
  <sheetData>
    <row r="2" spans="2:19" x14ac:dyDescent="0.3">
      <c r="C2" s="5"/>
      <c r="D2" s="5"/>
      <c r="E2" s="5"/>
      <c r="F2" s="5"/>
      <c r="G2" s="5"/>
      <c r="H2" s="5"/>
      <c r="I2" s="5"/>
      <c r="J2" s="5"/>
    </row>
    <row r="3" spans="2:19" x14ac:dyDescent="0.3">
      <c r="C3" s="5"/>
      <c r="D3" s="5"/>
      <c r="E3" s="5"/>
      <c r="F3" s="5"/>
      <c r="G3" s="5"/>
      <c r="H3" s="5"/>
      <c r="I3" s="5"/>
      <c r="J3" s="5"/>
    </row>
    <row r="4" spans="2:19" x14ac:dyDescent="0.3">
      <c r="C4" s="5"/>
      <c r="D4" s="5"/>
      <c r="E4" s="5"/>
      <c r="F4" s="5"/>
      <c r="G4" s="5"/>
      <c r="H4" s="5"/>
      <c r="I4" s="5"/>
      <c r="J4" s="5"/>
    </row>
    <row r="5" spans="2:19" x14ac:dyDescent="0.3">
      <c r="C5" s="5"/>
      <c r="D5" s="5"/>
      <c r="E5" s="5"/>
      <c r="F5" s="5"/>
      <c r="G5" s="5"/>
      <c r="H5" s="5"/>
      <c r="I5" s="5"/>
      <c r="J5" s="5"/>
    </row>
    <row r="6" spans="2:19" ht="16.2" x14ac:dyDescent="0.3">
      <c r="B6" s="29" t="s">
        <v>8</v>
      </c>
      <c r="C6" s="29"/>
      <c r="D6" s="29"/>
      <c r="E6" s="29"/>
      <c r="F6" s="29"/>
      <c r="G6" s="29"/>
      <c r="H6" s="29"/>
      <c r="I6" s="29"/>
      <c r="J6" s="29"/>
      <c r="K6" s="6"/>
      <c r="L6" s="29" t="s">
        <v>13</v>
      </c>
      <c r="M6" s="29"/>
      <c r="N6" s="29"/>
      <c r="O6" s="29"/>
      <c r="P6" s="29"/>
      <c r="Q6" s="29"/>
      <c r="R6" s="29"/>
      <c r="S6" s="29"/>
    </row>
    <row r="7" spans="2:19" ht="16.2" x14ac:dyDescent="0.3">
      <c r="C7" s="7"/>
      <c r="D7" s="7"/>
      <c r="E7" s="7"/>
      <c r="F7" s="7"/>
      <c r="G7" s="7"/>
      <c r="H7" s="7"/>
      <c r="I7" s="7"/>
      <c r="J7" s="7"/>
      <c r="K7" s="6"/>
    </row>
    <row r="8" spans="2:19" ht="16.2" x14ac:dyDescent="0.3">
      <c r="B8" s="30" t="s">
        <v>10</v>
      </c>
      <c r="C8" s="30"/>
      <c r="D8" s="8"/>
      <c r="G8" s="9" t="s">
        <v>24</v>
      </c>
      <c r="H8" s="10"/>
      <c r="I8" s="8"/>
      <c r="J8" s="11"/>
      <c r="L8" s="9" t="s">
        <v>10</v>
      </c>
      <c r="M8" s="12">
        <f>D8</f>
        <v>0</v>
      </c>
      <c r="N8" s="13"/>
      <c r="O8" s="13"/>
      <c r="P8" s="13"/>
      <c r="Q8" s="14"/>
    </row>
    <row r="9" spans="2:19" ht="16.2" x14ac:dyDescent="0.3">
      <c r="B9" s="30" t="s">
        <v>11</v>
      </c>
      <c r="C9" s="30"/>
      <c r="D9" s="8"/>
      <c r="G9" s="9" t="s">
        <v>18</v>
      </c>
      <c r="H9" s="10"/>
      <c r="I9" s="15"/>
      <c r="J9" s="15"/>
      <c r="L9" s="9" t="s">
        <v>11</v>
      </c>
      <c r="M9" s="31">
        <f>D9</f>
        <v>0</v>
      </c>
      <c r="N9" s="31"/>
      <c r="O9" s="13"/>
      <c r="P9" s="13"/>
      <c r="Q9" s="14"/>
    </row>
    <row r="10" spans="2:19" ht="16.2" x14ac:dyDescent="0.3">
      <c r="C10" s="16"/>
      <c r="D10" s="16"/>
      <c r="E10" s="16"/>
      <c r="F10" s="17"/>
      <c r="G10" s="17"/>
      <c r="H10" s="17"/>
      <c r="I10" s="17"/>
      <c r="J10" s="16"/>
      <c r="L10" s="9" t="s">
        <v>19</v>
      </c>
      <c r="M10" s="31">
        <f>I8</f>
        <v>0</v>
      </c>
      <c r="N10" s="31"/>
    </row>
    <row r="11" spans="2:19" x14ac:dyDescent="0.3">
      <c r="B11" s="1" t="s">
        <v>12</v>
      </c>
      <c r="C11" s="1" t="s">
        <v>9</v>
      </c>
      <c r="D11" s="1" t="s">
        <v>0</v>
      </c>
      <c r="E11" s="1" t="s">
        <v>1</v>
      </c>
      <c r="F11" s="1" t="s">
        <v>2</v>
      </c>
      <c r="G11" s="1" t="s">
        <v>25</v>
      </c>
      <c r="H11" s="1" t="s">
        <v>6</v>
      </c>
      <c r="I11" s="1" t="s">
        <v>5</v>
      </c>
      <c r="J11" s="1" t="s">
        <v>7</v>
      </c>
      <c r="L11" s="9" t="s">
        <v>18</v>
      </c>
      <c r="M11" s="15">
        <f>I9</f>
        <v>0</v>
      </c>
      <c r="N11" s="15">
        <f>J9</f>
        <v>0</v>
      </c>
    </row>
    <row r="12" spans="2:19" x14ac:dyDescent="0.3">
      <c r="B12" s="2">
        <v>1</v>
      </c>
      <c r="C12" s="18"/>
      <c r="D12" s="19"/>
      <c r="E12" s="2"/>
      <c r="F12" s="2"/>
      <c r="G12" s="2"/>
      <c r="H12" s="2"/>
      <c r="I12" s="20"/>
      <c r="J12" s="3">
        <f t="shared" ref="J12:J58" si="0">I12*G12</f>
        <v>0</v>
      </c>
    </row>
    <row r="13" spans="2:19" ht="16.2" x14ac:dyDescent="0.3">
      <c r="B13" s="2">
        <v>2</v>
      </c>
      <c r="C13" s="18"/>
      <c r="D13" s="21"/>
      <c r="E13" s="22"/>
      <c r="F13" s="22"/>
      <c r="G13" s="2"/>
      <c r="H13" s="22"/>
      <c r="I13" s="20"/>
      <c r="J13" s="3">
        <f t="shared" si="0"/>
        <v>0</v>
      </c>
      <c r="L13" s="32" t="s">
        <v>23</v>
      </c>
      <c r="M13" s="34" t="s">
        <v>3</v>
      </c>
      <c r="N13" s="35"/>
      <c r="O13" s="35"/>
      <c r="P13" s="35"/>
      <c r="Q13" s="36"/>
      <c r="R13" s="32" t="s">
        <v>21</v>
      </c>
      <c r="S13" s="37" t="s">
        <v>22</v>
      </c>
    </row>
    <row r="14" spans="2:19" ht="14.4" customHeight="1" x14ac:dyDescent="0.3">
      <c r="B14" s="2">
        <v>3</v>
      </c>
      <c r="C14" s="18"/>
      <c r="D14" s="21"/>
      <c r="E14" s="22"/>
      <c r="F14" s="22"/>
      <c r="G14" s="22"/>
      <c r="H14" s="22"/>
      <c r="I14" s="20"/>
      <c r="J14" s="3">
        <f t="shared" si="0"/>
        <v>0</v>
      </c>
      <c r="L14" s="33"/>
      <c r="M14" s="1" t="s">
        <v>20</v>
      </c>
      <c r="N14" s="1" t="s">
        <v>15</v>
      </c>
      <c r="O14" s="1" t="s">
        <v>16</v>
      </c>
      <c r="P14" s="1" t="s">
        <v>17</v>
      </c>
      <c r="Q14" s="1" t="s">
        <v>14</v>
      </c>
      <c r="R14" s="33"/>
      <c r="S14" s="38"/>
    </row>
    <row r="15" spans="2:19" ht="16.2" x14ac:dyDescent="0.35">
      <c r="B15" s="2">
        <v>4</v>
      </c>
      <c r="C15" s="18"/>
      <c r="D15" s="21"/>
      <c r="E15" s="22"/>
      <c r="F15" s="22"/>
      <c r="G15" s="22"/>
      <c r="H15" s="22"/>
      <c r="I15" s="20"/>
      <c r="J15" s="3">
        <f t="shared" si="0"/>
        <v>0</v>
      </c>
      <c r="L15" s="23">
        <f>SUMIF('EP N°_'!$F$12:$F$10011,"=Ingreso",'EP N°_'!$J$12:$J$10011)</f>
        <v>0</v>
      </c>
      <c r="M15" s="24">
        <f>SUMIFS('EP N°_'!$J$12:$J$1011,'EP N°_'!$E$12:$E$1011,"=MO",'EP N°_'!$F$12:$F$1011,"=Egreso")</f>
        <v>0</v>
      </c>
      <c r="N15" s="24">
        <f>SUMIFS('EP N°_'!$J$12:$J$1011,'EP N°_'!$E$12:$E$1011,"=M",'EP N°_'!$F$12:$F$1011,"=Egreso")</f>
        <v>0</v>
      </c>
      <c r="O15" s="24">
        <f>SUMIFS('EP N°_'!$J$12:$J$1011,'EP N°_'!$E$12:$E$1011,"=H",'EP N°_'!$F$12:$F$1011,"=Egreso")</f>
        <v>0</v>
      </c>
      <c r="P15" s="24">
        <f>SUMIFS('EP N°_'!$J$12:$J$1011,'EP N°_'!$E$12:$E$1011,"=EPP",'EP N°_'!$F$12:$F$1011,"=Egreso")</f>
        <v>0</v>
      </c>
      <c r="Q15" s="24">
        <f>SUMIFS('EP N°_'!$J$12:$J$1011,'EP N°_'!$E$12:$E$1011,"=GG",'EP N°_'!$F$12:$F$1011,"=Egreso")</f>
        <v>0</v>
      </c>
      <c r="R15" s="24">
        <f>SUM(M15:Q15)</f>
        <v>0</v>
      </c>
      <c r="S15" s="25">
        <f>L15-R15</f>
        <v>0</v>
      </c>
    </row>
    <row r="16" spans="2:19" x14ac:dyDescent="0.3">
      <c r="B16" s="2">
        <v>5</v>
      </c>
      <c r="C16" s="18"/>
      <c r="D16" s="21"/>
      <c r="E16" s="22"/>
      <c r="F16" s="22"/>
      <c r="G16" s="22"/>
      <c r="H16" s="22"/>
      <c r="I16" s="20"/>
      <c r="J16" s="3">
        <f t="shared" si="0"/>
        <v>0</v>
      </c>
    </row>
    <row r="17" spans="2:19" ht="14.4" customHeight="1" x14ac:dyDescent="0.3">
      <c r="B17" s="2">
        <v>6</v>
      </c>
      <c r="C17" s="18"/>
      <c r="D17" s="21"/>
      <c r="E17" s="22"/>
      <c r="F17" s="22"/>
      <c r="G17" s="22"/>
      <c r="H17" s="22"/>
      <c r="I17" s="20"/>
      <c r="J17" s="3">
        <f t="shared" si="0"/>
        <v>0</v>
      </c>
      <c r="S17" s="37" t="s">
        <v>4</v>
      </c>
    </row>
    <row r="18" spans="2:19" ht="14.4" customHeight="1" x14ac:dyDescent="0.3">
      <c r="B18" s="2">
        <v>7</v>
      </c>
      <c r="C18" s="18"/>
      <c r="D18" s="21"/>
      <c r="E18" s="22"/>
      <c r="F18" s="22"/>
      <c r="G18" s="22"/>
      <c r="H18" s="22"/>
      <c r="I18" s="20"/>
      <c r="J18" s="3">
        <f t="shared" si="0"/>
        <v>0</v>
      </c>
      <c r="S18" s="38"/>
    </row>
    <row r="19" spans="2:19" ht="16.2" x14ac:dyDescent="0.3">
      <c r="B19" s="2">
        <v>8</v>
      </c>
      <c r="C19" s="18"/>
      <c r="D19" s="21"/>
      <c r="E19" s="22"/>
      <c r="F19" s="22"/>
      <c r="G19" s="22"/>
      <c r="H19" s="22"/>
      <c r="I19" s="20"/>
      <c r="J19" s="3">
        <f t="shared" si="0"/>
        <v>0</v>
      </c>
      <c r="S19" s="26" t="str">
        <f>IF(ISERROR(S15/L15),"-",S15/L15)</f>
        <v>-</v>
      </c>
    </row>
    <row r="20" spans="2:19" x14ac:dyDescent="0.3">
      <c r="B20" s="2">
        <v>9</v>
      </c>
      <c r="C20" s="18"/>
      <c r="D20" s="21"/>
      <c r="E20" s="22"/>
      <c r="F20" s="22"/>
      <c r="G20" s="22"/>
      <c r="H20" s="22"/>
      <c r="I20" s="20"/>
      <c r="J20" s="3">
        <f t="shared" si="0"/>
        <v>0</v>
      </c>
    </row>
    <row r="21" spans="2:19" x14ac:dyDescent="0.3">
      <c r="B21" s="2">
        <v>10</v>
      </c>
      <c r="C21" s="18"/>
      <c r="D21" s="21"/>
      <c r="E21" s="22"/>
      <c r="F21" s="22"/>
      <c r="G21" s="22"/>
      <c r="H21" s="22"/>
      <c r="I21" s="20"/>
      <c r="J21" s="3">
        <f t="shared" si="0"/>
        <v>0</v>
      </c>
    </row>
    <row r="22" spans="2:19" x14ac:dyDescent="0.3">
      <c r="B22" s="2">
        <v>11</v>
      </c>
      <c r="C22" s="18"/>
      <c r="D22" s="21"/>
      <c r="E22" s="22"/>
      <c r="F22" s="22"/>
      <c r="G22" s="22"/>
      <c r="H22" s="22"/>
      <c r="I22" s="20"/>
      <c r="J22" s="3">
        <f t="shared" si="0"/>
        <v>0</v>
      </c>
    </row>
    <row r="23" spans="2:19" x14ac:dyDescent="0.3">
      <c r="B23" s="2">
        <v>12</v>
      </c>
      <c r="C23" s="18"/>
      <c r="D23" s="21"/>
      <c r="E23" s="22"/>
      <c r="F23" s="22"/>
      <c r="G23" s="22"/>
      <c r="H23" s="22"/>
      <c r="I23" s="20"/>
      <c r="J23" s="3">
        <f t="shared" si="0"/>
        <v>0</v>
      </c>
    </row>
    <row r="24" spans="2:19" x14ac:dyDescent="0.3">
      <c r="B24" s="2">
        <v>13</v>
      </c>
      <c r="C24" s="18"/>
      <c r="D24" s="21"/>
      <c r="E24" s="22"/>
      <c r="F24" s="22"/>
      <c r="G24" s="22"/>
      <c r="H24" s="22"/>
      <c r="I24" s="20"/>
      <c r="J24" s="3">
        <f t="shared" si="0"/>
        <v>0</v>
      </c>
    </row>
    <row r="25" spans="2:19" x14ac:dyDescent="0.3">
      <c r="B25" s="2">
        <v>14</v>
      </c>
      <c r="C25" s="18"/>
      <c r="D25" s="21"/>
      <c r="E25" s="22"/>
      <c r="F25" s="22"/>
      <c r="G25" s="22"/>
      <c r="H25" s="22"/>
      <c r="I25" s="20"/>
      <c r="J25" s="3">
        <f t="shared" si="0"/>
        <v>0</v>
      </c>
    </row>
    <row r="26" spans="2:19" x14ac:dyDescent="0.3">
      <c r="B26" s="2">
        <v>15</v>
      </c>
      <c r="C26" s="18"/>
      <c r="D26" s="21"/>
      <c r="E26" s="22"/>
      <c r="F26" s="22"/>
      <c r="G26" s="22"/>
      <c r="H26" s="22"/>
      <c r="I26" s="20"/>
      <c r="J26" s="3">
        <f t="shared" si="0"/>
        <v>0</v>
      </c>
    </row>
    <row r="27" spans="2:19" x14ac:dyDescent="0.3">
      <c r="B27" s="2">
        <v>16</v>
      </c>
      <c r="C27" s="18"/>
      <c r="D27" s="19"/>
      <c r="E27" s="2"/>
      <c r="F27" s="2"/>
      <c r="G27" s="2"/>
      <c r="H27" s="2"/>
      <c r="I27" s="20"/>
      <c r="J27" s="3">
        <f t="shared" si="0"/>
        <v>0</v>
      </c>
    </row>
    <row r="28" spans="2:19" x14ac:dyDescent="0.3">
      <c r="B28" s="2">
        <v>17</v>
      </c>
      <c r="C28" s="18"/>
      <c r="D28" s="21"/>
      <c r="E28" s="22"/>
      <c r="F28" s="22"/>
      <c r="G28" s="2"/>
      <c r="H28" s="22"/>
      <c r="I28" s="20"/>
      <c r="J28" s="3">
        <f t="shared" si="0"/>
        <v>0</v>
      </c>
    </row>
    <row r="29" spans="2:19" x14ac:dyDescent="0.3">
      <c r="B29" s="2">
        <v>18</v>
      </c>
      <c r="C29" s="18"/>
      <c r="D29" s="21"/>
      <c r="E29" s="22"/>
      <c r="F29" s="22"/>
      <c r="G29" s="22"/>
      <c r="H29" s="22"/>
      <c r="I29" s="20"/>
      <c r="J29" s="3">
        <f t="shared" si="0"/>
        <v>0</v>
      </c>
    </row>
    <row r="30" spans="2:19" x14ac:dyDescent="0.3">
      <c r="B30" s="2">
        <v>19</v>
      </c>
      <c r="C30" s="18"/>
      <c r="D30" s="21"/>
      <c r="E30" s="22"/>
      <c r="F30" s="22"/>
      <c r="G30" s="22"/>
      <c r="H30" s="22"/>
      <c r="I30" s="20"/>
      <c r="J30" s="3">
        <f t="shared" si="0"/>
        <v>0</v>
      </c>
    </row>
    <row r="31" spans="2:19" x14ac:dyDescent="0.3">
      <c r="B31" s="2">
        <v>20</v>
      </c>
      <c r="C31" s="18"/>
      <c r="D31" s="21"/>
      <c r="E31" s="22"/>
      <c r="F31" s="22"/>
      <c r="G31" s="22"/>
      <c r="H31" s="22"/>
      <c r="I31" s="20"/>
      <c r="J31" s="3">
        <f t="shared" si="0"/>
        <v>0</v>
      </c>
    </row>
    <row r="32" spans="2:19" x14ac:dyDescent="0.3">
      <c r="B32" s="2">
        <v>21</v>
      </c>
      <c r="C32" s="18"/>
      <c r="D32" s="21"/>
      <c r="E32" s="22"/>
      <c r="F32" s="22"/>
      <c r="G32" s="22"/>
      <c r="H32" s="22"/>
      <c r="I32" s="20"/>
      <c r="J32" s="3">
        <f t="shared" si="0"/>
        <v>0</v>
      </c>
    </row>
    <row r="33" spans="2:10" x14ac:dyDescent="0.3">
      <c r="B33" s="2">
        <v>22</v>
      </c>
      <c r="C33" s="18"/>
      <c r="D33" s="21"/>
      <c r="E33" s="22"/>
      <c r="F33" s="22"/>
      <c r="G33" s="22"/>
      <c r="H33" s="22"/>
      <c r="I33" s="20"/>
      <c r="J33" s="3">
        <f t="shared" si="0"/>
        <v>0</v>
      </c>
    </row>
    <row r="34" spans="2:10" x14ac:dyDescent="0.3">
      <c r="B34" s="2">
        <v>23</v>
      </c>
      <c r="C34" s="18"/>
      <c r="D34" s="21"/>
      <c r="E34" s="22"/>
      <c r="F34" s="22"/>
      <c r="G34" s="22"/>
      <c r="H34" s="22"/>
      <c r="I34" s="20"/>
      <c r="J34" s="3">
        <f t="shared" si="0"/>
        <v>0</v>
      </c>
    </row>
    <row r="35" spans="2:10" x14ac:dyDescent="0.3">
      <c r="B35" s="2">
        <v>24</v>
      </c>
      <c r="C35" s="18"/>
      <c r="D35" s="21"/>
      <c r="E35" s="22"/>
      <c r="F35" s="22"/>
      <c r="G35" s="22"/>
      <c r="H35" s="22"/>
      <c r="I35" s="20"/>
      <c r="J35" s="3">
        <f t="shared" si="0"/>
        <v>0</v>
      </c>
    </row>
    <row r="36" spans="2:10" x14ac:dyDescent="0.3">
      <c r="B36" s="2">
        <v>25</v>
      </c>
      <c r="C36" s="18"/>
      <c r="D36" s="21"/>
      <c r="E36" s="22"/>
      <c r="F36" s="22"/>
      <c r="G36" s="22"/>
      <c r="H36" s="22"/>
      <c r="I36" s="20"/>
      <c r="J36" s="3">
        <f t="shared" si="0"/>
        <v>0</v>
      </c>
    </row>
    <row r="37" spans="2:10" x14ac:dyDescent="0.3">
      <c r="B37" s="2">
        <v>26</v>
      </c>
      <c r="C37" s="18"/>
      <c r="D37" s="21"/>
      <c r="E37" s="22"/>
      <c r="F37" s="22"/>
      <c r="G37" s="22"/>
      <c r="H37" s="22"/>
      <c r="I37" s="20"/>
      <c r="J37" s="3">
        <f t="shared" si="0"/>
        <v>0</v>
      </c>
    </row>
    <row r="38" spans="2:10" x14ac:dyDescent="0.3">
      <c r="B38" s="2">
        <v>27</v>
      </c>
      <c r="C38" s="18"/>
      <c r="D38" s="21"/>
      <c r="E38" s="22"/>
      <c r="F38" s="22"/>
      <c r="G38" s="22"/>
      <c r="H38" s="22"/>
      <c r="I38" s="20"/>
      <c r="J38" s="3">
        <f t="shared" si="0"/>
        <v>0</v>
      </c>
    </row>
    <row r="39" spans="2:10" x14ac:dyDescent="0.3">
      <c r="B39" s="2">
        <v>28</v>
      </c>
      <c r="C39" s="18"/>
      <c r="D39" s="21"/>
      <c r="E39" s="22"/>
      <c r="F39" s="22"/>
      <c r="G39" s="22"/>
      <c r="H39" s="22"/>
      <c r="I39" s="20"/>
      <c r="J39" s="3">
        <f t="shared" si="0"/>
        <v>0</v>
      </c>
    </row>
    <row r="40" spans="2:10" x14ac:dyDescent="0.3">
      <c r="B40" s="2">
        <v>29</v>
      </c>
      <c r="C40" s="18"/>
      <c r="D40" s="21"/>
      <c r="E40" s="22"/>
      <c r="F40" s="22"/>
      <c r="G40" s="22"/>
      <c r="H40" s="22"/>
      <c r="I40" s="20"/>
      <c r="J40" s="3">
        <f t="shared" si="0"/>
        <v>0</v>
      </c>
    </row>
    <row r="41" spans="2:10" x14ac:dyDescent="0.3">
      <c r="B41" s="2">
        <v>30</v>
      </c>
      <c r="C41" s="18"/>
      <c r="D41" s="21"/>
      <c r="E41" s="22"/>
      <c r="F41" s="22"/>
      <c r="G41" s="22"/>
      <c r="H41" s="22"/>
      <c r="I41" s="20"/>
      <c r="J41" s="3">
        <f t="shared" si="0"/>
        <v>0</v>
      </c>
    </row>
    <row r="42" spans="2:10" x14ac:dyDescent="0.3">
      <c r="B42" s="2">
        <v>31</v>
      </c>
      <c r="C42" s="18"/>
      <c r="D42" s="19"/>
      <c r="E42" s="2"/>
      <c r="F42" s="2"/>
      <c r="G42" s="2"/>
      <c r="H42" s="2"/>
      <c r="I42" s="20"/>
      <c r="J42" s="3">
        <f t="shared" si="0"/>
        <v>0</v>
      </c>
    </row>
    <row r="43" spans="2:10" x14ac:dyDescent="0.3">
      <c r="B43" s="2">
        <v>32</v>
      </c>
      <c r="C43" s="18"/>
      <c r="D43" s="19"/>
      <c r="E43" s="2"/>
      <c r="F43" s="2"/>
      <c r="G43" s="2"/>
      <c r="H43" s="2"/>
      <c r="I43" s="20"/>
      <c r="J43" s="3">
        <f t="shared" si="0"/>
        <v>0</v>
      </c>
    </row>
    <row r="44" spans="2:10" x14ac:dyDescent="0.3">
      <c r="B44" s="2">
        <v>33</v>
      </c>
      <c r="C44" s="18"/>
      <c r="D44" s="21"/>
      <c r="E44" s="22"/>
      <c r="F44" s="22"/>
      <c r="G44" s="2"/>
      <c r="H44" s="22"/>
      <c r="I44" s="20"/>
      <c r="J44" s="3">
        <f t="shared" si="0"/>
        <v>0</v>
      </c>
    </row>
    <row r="45" spans="2:10" x14ac:dyDescent="0.3">
      <c r="B45" s="2">
        <v>34</v>
      </c>
      <c r="C45" s="18"/>
      <c r="D45" s="21"/>
      <c r="E45" s="22"/>
      <c r="F45" s="22"/>
      <c r="G45" s="22"/>
      <c r="H45" s="22"/>
      <c r="I45" s="20"/>
      <c r="J45" s="3">
        <f t="shared" si="0"/>
        <v>0</v>
      </c>
    </row>
    <row r="46" spans="2:10" x14ac:dyDescent="0.3">
      <c r="B46" s="2">
        <v>35</v>
      </c>
      <c r="C46" s="18"/>
      <c r="D46" s="21"/>
      <c r="E46" s="22"/>
      <c r="F46" s="22"/>
      <c r="G46" s="22"/>
      <c r="H46" s="22"/>
      <c r="I46" s="20"/>
      <c r="J46" s="3">
        <f t="shared" si="0"/>
        <v>0</v>
      </c>
    </row>
    <row r="47" spans="2:10" x14ac:dyDescent="0.3">
      <c r="B47" s="2">
        <v>36</v>
      </c>
      <c r="C47" s="18"/>
      <c r="D47" s="21"/>
      <c r="E47" s="22"/>
      <c r="F47" s="22"/>
      <c r="G47" s="22"/>
      <c r="H47" s="22"/>
      <c r="I47" s="20"/>
      <c r="J47" s="3">
        <f t="shared" si="0"/>
        <v>0</v>
      </c>
    </row>
    <row r="48" spans="2:10" x14ac:dyDescent="0.3">
      <c r="B48" s="2">
        <v>37</v>
      </c>
      <c r="C48" s="18"/>
      <c r="D48" s="21"/>
      <c r="E48" s="22"/>
      <c r="F48" s="22"/>
      <c r="G48" s="22"/>
      <c r="H48" s="22"/>
      <c r="I48" s="20"/>
      <c r="J48" s="3">
        <f t="shared" si="0"/>
        <v>0</v>
      </c>
    </row>
    <row r="49" spans="2:10" x14ac:dyDescent="0.3">
      <c r="B49" s="2">
        <v>38</v>
      </c>
      <c r="C49" s="18"/>
      <c r="D49" s="21"/>
      <c r="E49" s="22"/>
      <c r="F49" s="22"/>
      <c r="G49" s="22"/>
      <c r="H49" s="22"/>
      <c r="I49" s="20"/>
      <c r="J49" s="3">
        <f t="shared" si="0"/>
        <v>0</v>
      </c>
    </row>
    <row r="50" spans="2:10" x14ac:dyDescent="0.3">
      <c r="B50" s="2">
        <v>39</v>
      </c>
      <c r="C50" s="18"/>
      <c r="D50" s="21"/>
      <c r="E50" s="22"/>
      <c r="F50" s="22"/>
      <c r="G50" s="22"/>
      <c r="H50" s="22"/>
      <c r="I50" s="20"/>
      <c r="J50" s="3">
        <f t="shared" si="0"/>
        <v>0</v>
      </c>
    </row>
    <row r="51" spans="2:10" x14ac:dyDescent="0.3">
      <c r="B51" s="2">
        <v>40</v>
      </c>
      <c r="C51" s="18"/>
      <c r="D51" s="21"/>
      <c r="E51" s="22"/>
      <c r="F51" s="22"/>
      <c r="G51" s="22"/>
      <c r="H51" s="22"/>
      <c r="I51" s="20"/>
      <c r="J51" s="3">
        <f t="shared" si="0"/>
        <v>0</v>
      </c>
    </row>
    <row r="52" spans="2:10" x14ac:dyDescent="0.3">
      <c r="B52" s="2">
        <v>41</v>
      </c>
      <c r="C52" s="18"/>
      <c r="D52" s="21"/>
      <c r="E52" s="22"/>
      <c r="F52" s="22"/>
      <c r="G52" s="22"/>
      <c r="H52" s="22"/>
      <c r="I52" s="20"/>
      <c r="J52" s="3">
        <f t="shared" si="0"/>
        <v>0</v>
      </c>
    </row>
    <row r="53" spans="2:10" x14ac:dyDescent="0.3">
      <c r="B53" s="2">
        <v>42</v>
      </c>
      <c r="C53" s="18"/>
      <c r="D53" s="21"/>
      <c r="E53" s="22"/>
      <c r="F53" s="22"/>
      <c r="G53" s="22"/>
      <c r="H53" s="22"/>
      <c r="I53" s="20"/>
      <c r="J53" s="3">
        <f t="shared" si="0"/>
        <v>0</v>
      </c>
    </row>
    <row r="54" spans="2:10" x14ac:dyDescent="0.3">
      <c r="B54" s="2">
        <v>43</v>
      </c>
      <c r="C54" s="18"/>
      <c r="D54" s="21"/>
      <c r="E54" s="22"/>
      <c r="F54" s="22"/>
      <c r="G54" s="22"/>
      <c r="H54" s="22"/>
      <c r="I54" s="20"/>
      <c r="J54" s="3">
        <f t="shared" si="0"/>
        <v>0</v>
      </c>
    </row>
    <row r="55" spans="2:10" x14ac:dyDescent="0.3">
      <c r="B55" s="2">
        <v>44</v>
      </c>
      <c r="C55" s="18"/>
      <c r="D55" s="21"/>
      <c r="E55" s="22"/>
      <c r="F55" s="22"/>
      <c r="G55" s="22"/>
      <c r="H55" s="22"/>
      <c r="I55" s="20"/>
      <c r="J55" s="3">
        <f t="shared" si="0"/>
        <v>0</v>
      </c>
    </row>
    <row r="56" spans="2:10" x14ac:dyDescent="0.3">
      <c r="B56" s="2">
        <v>45</v>
      </c>
      <c r="C56" s="18"/>
      <c r="D56" s="21"/>
      <c r="E56" s="22"/>
      <c r="F56" s="22"/>
      <c r="G56" s="22"/>
      <c r="H56" s="22"/>
      <c r="I56" s="20"/>
      <c r="J56" s="3">
        <f t="shared" si="0"/>
        <v>0</v>
      </c>
    </row>
    <row r="57" spans="2:10" x14ac:dyDescent="0.3">
      <c r="B57" s="2">
        <v>46</v>
      </c>
      <c r="C57" s="18"/>
      <c r="D57" s="21"/>
      <c r="E57" s="22"/>
      <c r="F57" s="22"/>
      <c r="G57" s="22"/>
      <c r="H57" s="22"/>
      <c r="I57" s="20"/>
      <c r="J57" s="3">
        <f t="shared" si="0"/>
        <v>0</v>
      </c>
    </row>
    <row r="58" spans="2:10" x14ac:dyDescent="0.3">
      <c r="B58" s="2">
        <v>47</v>
      </c>
      <c r="C58" s="18"/>
      <c r="D58" s="21"/>
      <c r="E58" s="22"/>
      <c r="F58" s="22"/>
      <c r="G58" s="22"/>
      <c r="H58" s="22"/>
      <c r="I58" s="20"/>
      <c r="J58" s="3">
        <f t="shared" si="0"/>
        <v>0</v>
      </c>
    </row>
    <row r="59" spans="2:10" x14ac:dyDescent="0.3">
      <c r="B59" s="2">
        <v>48</v>
      </c>
      <c r="C59" s="18"/>
      <c r="D59" s="21"/>
      <c r="E59" s="22"/>
      <c r="F59" s="22"/>
      <c r="G59" s="22"/>
      <c r="H59" s="22"/>
      <c r="I59" s="20"/>
      <c r="J59" s="3">
        <f t="shared" ref="J59:J77" si="1">I59*G59</f>
        <v>0</v>
      </c>
    </row>
    <row r="60" spans="2:10" x14ac:dyDescent="0.3">
      <c r="B60" s="2">
        <v>49</v>
      </c>
      <c r="C60" s="18"/>
      <c r="D60" s="21"/>
      <c r="E60" s="22"/>
      <c r="F60" s="22"/>
      <c r="G60" s="22"/>
      <c r="H60" s="22"/>
      <c r="I60" s="20"/>
      <c r="J60" s="3">
        <f t="shared" si="1"/>
        <v>0</v>
      </c>
    </row>
    <row r="61" spans="2:10" x14ac:dyDescent="0.3">
      <c r="B61" s="2">
        <v>50</v>
      </c>
      <c r="C61" s="18"/>
      <c r="D61" s="21"/>
      <c r="E61" s="22"/>
      <c r="F61" s="22"/>
      <c r="G61" s="22"/>
      <c r="H61" s="22"/>
      <c r="I61" s="20"/>
      <c r="J61" s="3">
        <f t="shared" si="1"/>
        <v>0</v>
      </c>
    </row>
    <row r="62" spans="2:10" x14ac:dyDescent="0.3">
      <c r="B62" s="2">
        <v>51</v>
      </c>
      <c r="C62" s="18"/>
      <c r="D62" s="21"/>
      <c r="E62" s="22"/>
      <c r="F62" s="22"/>
      <c r="G62" s="22"/>
      <c r="H62" s="22"/>
      <c r="I62" s="20"/>
      <c r="J62" s="3">
        <f t="shared" si="1"/>
        <v>0</v>
      </c>
    </row>
    <row r="63" spans="2:10" x14ac:dyDescent="0.3">
      <c r="B63" s="2">
        <v>52</v>
      </c>
      <c r="C63" s="18"/>
      <c r="D63" s="21"/>
      <c r="E63" s="22"/>
      <c r="F63" s="22"/>
      <c r="G63" s="22"/>
      <c r="H63" s="22"/>
      <c r="I63" s="20"/>
      <c r="J63" s="3">
        <f t="shared" si="1"/>
        <v>0</v>
      </c>
    </row>
    <row r="64" spans="2:10" x14ac:dyDescent="0.3">
      <c r="B64" s="2">
        <v>53</v>
      </c>
      <c r="C64" s="18"/>
      <c r="D64" s="21"/>
      <c r="E64" s="22"/>
      <c r="F64" s="22"/>
      <c r="G64" s="2"/>
      <c r="H64" s="22"/>
      <c r="I64" s="20"/>
      <c r="J64" s="3">
        <f t="shared" si="1"/>
        <v>0</v>
      </c>
    </row>
    <row r="65" spans="2:10" x14ac:dyDescent="0.3">
      <c r="B65" s="2">
        <v>54</v>
      </c>
      <c r="C65" s="18"/>
      <c r="D65" s="21"/>
      <c r="E65" s="22"/>
      <c r="F65" s="22"/>
      <c r="G65" s="22"/>
      <c r="H65" s="22"/>
      <c r="I65" s="20"/>
      <c r="J65" s="3">
        <f t="shared" si="1"/>
        <v>0</v>
      </c>
    </row>
    <row r="66" spans="2:10" x14ac:dyDescent="0.3">
      <c r="B66" s="2">
        <v>55</v>
      </c>
      <c r="C66" s="18"/>
      <c r="D66" s="21"/>
      <c r="E66" s="22"/>
      <c r="F66" s="22"/>
      <c r="G66" s="22"/>
      <c r="H66" s="22"/>
      <c r="I66" s="20"/>
      <c r="J66" s="3">
        <f t="shared" si="1"/>
        <v>0</v>
      </c>
    </row>
    <row r="67" spans="2:10" x14ac:dyDescent="0.3">
      <c r="B67" s="2">
        <v>56</v>
      </c>
      <c r="C67" s="18"/>
      <c r="D67" s="21"/>
      <c r="E67" s="22"/>
      <c r="F67" s="22"/>
      <c r="G67" s="22"/>
      <c r="H67" s="22"/>
      <c r="I67" s="20"/>
      <c r="J67" s="3">
        <f t="shared" si="1"/>
        <v>0</v>
      </c>
    </row>
    <row r="68" spans="2:10" x14ac:dyDescent="0.3">
      <c r="B68" s="2">
        <v>57</v>
      </c>
      <c r="C68" s="18"/>
      <c r="D68" s="21"/>
      <c r="E68" s="22"/>
      <c r="F68" s="22"/>
      <c r="G68" s="22"/>
      <c r="H68" s="22"/>
      <c r="I68" s="20"/>
      <c r="J68" s="3">
        <f t="shared" si="1"/>
        <v>0</v>
      </c>
    </row>
    <row r="69" spans="2:10" x14ac:dyDescent="0.3">
      <c r="B69" s="2">
        <v>58</v>
      </c>
      <c r="C69" s="18"/>
      <c r="D69" s="21"/>
      <c r="E69" s="22"/>
      <c r="F69" s="22"/>
      <c r="G69" s="22"/>
      <c r="H69" s="22"/>
      <c r="I69" s="20"/>
      <c r="J69" s="3">
        <f t="shared" si="1"/>
        <v>0</v>
      </c>
    </row>
    <row r="70" spans="2:10" x14ac:dyDescent="0.3">
      <c r="B70" s="2">
        <v>59</v>
      </c>
      <c r="C70" s="18"/>
      <c r="D70" s="21"/>
      <c r="E70" s="22"/>
      <c r="F70" s="22"/>
      <c r="G70" s="22"/>
      <c r="H70" s="22"/>
      <c r="I70" s="20"/>
      <c r="J70" s="3">
        <f t="shared" si="1"/>
        <v>0</v>
      </c>
    </row>
    <row r="71" spans="2:10" x14ac:dyDescent="0.3">
      <c r="B71" s="2">
        <v>60</v>
      </c>
      <c r="C71" s="18"/>
      <c r="D71" s="21"/>
      <c r="E71" s="22"/>
      <c r="F71" s="22"/>
      <c r="G71" s="2"/>
      <c r="H71" s="22"/>
      <c r="I71" s="20"/>
      <c r="J71" s="3">
        <f t="shared" si="1"/>
        <v>0</v>
      </c>
    </row>
    <row r="72" spans="2:10" x14ac:dyDescent="0.3">
      <c r="B72" s="2">
        <v>61</v>
      </c>
      <c r="C72" s="18"/>
      <c r="D72" s="21"/>
      <c r="E72" s="22"/>
      <c r="F72" s="22"/>
      <c r="G72" s="22"/>
      <c r="H72" s="22"/>
      <c r="I72" s="20"/>
      <c r="J72" s="3">
        <f t="shared" si="1"/>
        <v>0</v>
      </c>
    </row>
    <row r="73" spans="2:10" x14ac:dyDescent="0.3">
      <c r="B73" s="2">
        <v>62</v>
      </c>
      <c r="C73" s="18"/>
      <c r="D73" s="21"/>
      <c r="E73" s="22"/>
      <c r="F73" s="22"/>
      <c r="G73" s="22"/>
      <c r="H73" s="22"/>
      <c r="I73" s="20"/>
      <c r="J73" s="3">
        <f t="shared" si="1"/>
        <v>0</v>
      </c>
    </row>
    <row r="74" spans="2:10" x14ac:dyDescent="0.3">
      <c r="B74" s="2">
        <v>63</v>
      </c>
      <c r="C74" s="18"/>
      <c r="D74" s="21"/>
      <c r="E74" s="22"/>
      <c r="F74" s="22"/>
      <c r="G74" s="22"/>
      <c r="H74" s="22"/>
      <c r="I74" s="20"/>
      <c r="J74" s="3">
        <f t="shared" si="1"/>
        <v>0</v>
      </c>
    </row>
    <row r="75" spans="2:10" x14ac:dyDescent="0.3">
      <c r="B75" s="2">
        <v>64</v>
      </c>
      <c r="C75" s="18"/>
      <c r="D75" s="21"/>
      <c r="E75" s="22"/>
      <c r="F75" s="22"/>
      <c r="G75" s="2"/>
      <c r="H75" s="22"/>
      <c r="I75" s="20"/>
      <c r="J75" s="3">
        <f t="shared" si="1"/>
        <v>0</v>
      </c>
    </row>
    <row r="76" spans="2:10" x14ac:dyDescent="0.3">
      <c r="B76" s="2">
        <v>65</v>
      </c>
      <c r="C76" s="27"/>
      <c r="D76" s="21"/>
      <c r="E76" s="22"/>
      <c r="F76" s="22"/>
      <c r="G76" s="22"/>
      <c r="H76" s="22"/>
      <c r="I76" s="20"/>
      <c r="J76" s="3">
        <f t="shared" si="1"/>
        <v>0</v>
      </c>
    </row>
    <row r="77" spans="2:10" x14ac:dyDescent="0.3">
      <c r="B77" s="2">
        <v>66</v>
      </c>
      <c r="C77" s="28"/>
      <c r="D77" s="21"/>
      <c r="E77" s="22"/>
      <c r="F77" s="22"/>
      <c r="G77" s="22"/>
      <c r="H77" s="22"/>
      <c r="I77" s="20"/>
      <c r="J77" s="3">
        <f t="shared" si="1"/>
        <v>0</v>
      </c>
    </row>
    <row r="78" spans="2:10" x14ac:dyDescent="0.3">
      <c r="B78" s="2">
        <v>67</v>
      </c>
      <c r="C78" s="28"/>
      <c r="D78" s="21"/>
      <c r="E78" s="22"/>
      <c r="F78" s="22"/>
      <c r="G78" s="22"/>
      <c r="H78" s="22"/>
      <c r="I78" s="20"/>
      <c r="J78" s="3">
        <f t="shared" ref="J78:J92" si="2">I78*G78</f>
        <v>0</v>
      </c>
    </row>
    <row r="79" spans="2:10" x14ac:dyDescent="0.3">
      <c r="B79" s="2">
        <v>68</v>
      </c>
      <c r="C79" s="28"/>
      <c r="D79" s="21"/>
      <c r="E79" s="22"/>
      <c r="F79" s="22"/>
      <c r="G79" s="22"/>
      <c r="H79" s="22"/>
      <c r="I79" s="20"/>
      <c r="J79" s="3">
        <f t="shared" si="2"/>
        <v>0</v>
      </c>
    </row>
    <row r="80" spans="2:10" x14ac:dyDescent="0.3">
      <c r="B80" s="2">
        <v>69</v>
      </c>
      <c r="C80" s="28"/>
      <c r="D80" s="21"/>
      <c r="E80" s="22"/>
      <c r="F80" s="22"/>
      <c r="G80" s="22"/>
      <c r="H80" s="22"/>
      <c r="I80" s="20"/>
      <c r="J80" s="3">
        <f t="shared" si="2"/>
        <v>0</v>
      </c>
    </row>
    <row r="81" spans="2:10" x14ac:dyDescent="0.3">
      <c r="B81" s="2">
        <v>70</v>
      </c>
      <c r="C81" s="28"/>
      <c r="D81" s="21"/>
      <c r="E81" s="22"/>
      <c r="F81" s="22"/>
      <c r="G81" s="22"/>
      <c r="H81" s="22"/>
      <c r="I81" s="20"/>
      <c r="J81" s="3">
        <f t="shared" si="2"/>
        <v>0</v>
      </c>
    </row>
    <row r="82" spans="2:10" x14ac:dyDescent="0.3">
      <c r="B82" s="2">
        <v>71</v>
      </c>
      <c r="C82" s="28"/>
      <c r="D82" s="21"/>
      <c r="E82" s="22"/>
      <c r="F82" s="22"/>
      <c r="G82" s="22"/>
      <c r="H82" s="22"/>
      <c r="I82" s="20"/>
      <c r="J82" s="3">
        <f t="shared" si="2"/>
        <v>0</v>
      </c>
    </row>
    <row r="83" spans="2:10" x14ac:dyDescent="0.3">
      <c r="B83" s="2">
        <v>72</v>
      </c>
      <c r="C83" s="28"/>
      <c r="D83" s="21"/>
      <c r="E83" s="22"/>
      <c r="F83" s="22"/>
      <c r="G83" s="22"/>
      <c r="H83" s="22"/>
      <c r="I83" s="20"/>
      <c r="J83" s="3">
        <f t="shared" si="2"/>
        <v>0</v>
      </c>
    </row>
    <row r="84" spans="2:10" x14ac:dyDescent="0.3">
      <c r="B84" s="2">
        <v>73</v>
      </c>
      <c r="C84" s="28"/>
      <c r="D84" s="21"/>
      <c r="E84" s="22"/>
      <c r="F84" s="22"/>
      <c r="G84" s="22"/>
      <c r="H84" s="22"/>
      <c r="I84" s="20"/>
      <c r="J84" s="3">
        <f t="shared" si="2"/>
        <v>0</v>
      </c>
    </row>
    <row r="85" spans="2:10" x14ac:dyDescent="0.3">
      <c r="B85" s="2">
        <v>74</v>
      </c>
      <c r="C85" s="28"/>
      <c r="D85" s="21"/>
      <c r="E85" s="22"/>
      <c r="F85" s="22"/>
      <c r="G85" s="22"/>
      <c r="H85" s="22"/>
      <c r="I85" s="20"/>
      <c r="J85" s="3">
        <f t="shared" si="2"/>
        <v>0</v>
      </c>
    </row>
    <row r="86" spans="2:10" x14ac:dyDescent="0.3">
      <c r="B86" s="2">
        <v>75</v>
      </c>
      <c r="C86" s="28"/>
      <c r="D86" s="21"/>
      <c r="E86" s="22"/>
      <c r="F86" s="22"/>
      <c r="G86" s="22"/>
      <c r="H86" s="22"/>
      <c r="I86" s="20"/>
      <c r="J86" s="3">
        <f t="shared" si="2"/>
        <v>0</v>
      </c>
    </row>
    <row r="87" spans="2:10" x14ac:dyDescent="0.3">
      <c r="B87" s="2">
        <v>76</v>
      </c>
      <c r="C87" s="28"/>
      <c r="D87" s="21"/>
      <c r="E87" s="22"/>
      <c r="F87" s="22"/>
      <c r="G87" s="22"/>
      <c r="H87" s="22"/>
      <c r="I87" s="20"/>
      <c r="J87" s="3">
        <f t="shared" si="2"/>
        <v>0</v>
      </c>
    </row>
    <row r="88" spans="2:10" x14ac:dyDescent="0.3">
      <c r="B88" s="2">
        <v>77</v>
      </c>
      <c r="C88" s="28"/>
      <c r="D88" s="21"/>
      <c r="E88" s="22"/>
      <c r="F88" s="22"/>
      <c r="G88" s="22"/>
      <c r="H88" s="22"/>
      <c r="I88" s="20"/>
      <c r="J88" s="3">
        <f t="shared" si="2"/>
        <v>0</v>
      </c>
    </row>
    <row r="89" spans="2:10" x14ac:dyDescent="0.3">
      <c r="B89" s="2">
        <v>78</v>
      </c>
      <c r="C89" s="28"/>
      <c r="D89" s="21"/>
      <c r="E89" s="22"/>
      <c r="F89" s="22"/>
      <c r="G89" s="22"/>
      <c r="H89" s="22"/>
      <c r="I89" s="20"/>
      <c r="J89" s="3">
        <f t="shared" si="2"/>
        <v>0</v>
      </c>
    </row>
    <row r="90" spans="2:10" x14ac:dyDescent="0.3">
      <c r="B90" s="2">
        <v>79</v>
      </c>
      <c r="C90" s="28"/>
      <c r="D90" s="21"/>
      <c r="E90" s="22"/>
      <c r="F90" s="22"/>
      <c r="G90" s="22"/>
      <c r="H90" s="22"/>
      <c r="I90" s="20"/>
      <c r="J90" s="3">
        <f t="shared" si="2"/>
        <v>0</v>
      </c>
    </row>
    <row r="91" spans="2:10" x14ac:dyDescent="0.3">
      <c r="B91" s="2">
        <v>80</v>
      </c>
      <c r="C91" s="28"/>
      <c r="D91" s="21"/>
      <c r="E91" s="22"/>
      <c r="F91" s="22"/>
      <c r="G91" s="22"/>
      <c r="H91" s="22"/>
      <c r="I91" s="20"/>
      <c r="J91" s="3">
        <f t="shared" si="2"/>
        <v>0</v>
      </c>
    </row>
    <row r="92" spans="2:10" x14ac:dyDescent="0.3">
      <c r="B92" s="2">
        <v>81</v>
      </c>
      <c r="C92" s="28"/>
      <c r="D92" s="21"/>
      <c r="E92" s="22"/>
      <c r="F92" s="22"/>
      <c r="G92" s="22"/>
      <c r="H92" s="22"/>
      <c r="I92" s="20"/>
      <c r="J92" s="3">
        <f t="shared" si="2"/>
        <v>0</v>
      </c>
    </row>
    <row r="93" spans="2:10" x14ac:dyDescent="0.3">
      <c r="B93" s="2">
        <v>82</v>
      </c>
      <c r="C93" s="28"/>
      <c r="D93" s="21"/>
      <c r="E93" s="22"/>
      <c r="F93" s="22"/>
      <c r="G93" s="22"/>
      <c r="H93" s="22"/>
      <c r="I93" s="20"/>
      <c r="J93" s="3">
        <f t="shared" ref="J93" si="3">I93*G93</f>
        <v>0</v>
      </c>
    </row>
    <row r="94" spans="2:10" x14ac:dyDescent="0.3">
      <c r="B94" s="2">
        <v>83</v>
      </c>
      <c r="C94" s="28"/>
      <c r="D94" s="21"/>
      <c r="E94" s="22"/>
      <c r="F94" s="22"/>
      <c r="G94" s="22"/>
      <c r="H94" s="22"/>
      <c r="I94" s="20"/>
      <c r="J94" s="3">
        <f t="shared" ref="J94:J111" si="4">I94*G94</f>
        <v>0</v>
      </c>
    </row>
    <row r="95" spans="2:10" x14ac:dyDescent="0.3">
      <c r="B95" s="2">
        <v>84</v>
      </c>
      <c r="C95" s="28"/>
      <c r="D95" s="21"/>
      <c r="E95" s="22"/>
      <c r="F95" s="22"/>
      <c r="G95" s="22"/>
      <c r="H95" s="22"/>
      <c r="I95" s="20"/>
      <c r="J95" s="3">
        <f t="shared" si="4"/>
        <v>0</v>
      </c>
    </row>
    <row r="96" spans="2:10" x14ac:dyDescent="0.3">
      <c r="B96" s="2">
        <v>85</v>
      </c>
      <c r="C96" s="28"/>
      <c r="D96" s="21"/>
      <c r="E96" s="22"/>
      <c r="F96" s="22"/>
      <c r="G96" s="22"/>
      <c r="H96" s="22"/>
      <c r="I96" s="20"/>
      <c r="J96" s="3">
        <f t="shared" si="4"/>
        <v>0</v>
      </c>
    </row>
    <row r="97" spans="2:10" x14ac:dyDescent="0.3">
      <c r="B97" s="2">
        <v>86</v>
      </c>
      <c r="C97" s="28"/>
      <c r="D97" s="21"/>
      <c r="E97" s="22"/>
      <c r="F97" s="22"/>
      <c r="G97" s="22"/>
      <c r="H97" s="22"/>
      <c r="I97" s="20"/>
      <c r="J97" s="3">
        <f t="shared" si="4"/>
        <v>0</v>
      </c>
    </row>
    <row r="98" spans="2:10" x14ac:dyDescent="0.3">
      <c r="B98" s="2">
        <v>87</v>
      </c>
      <c r="C98" s="28"/>
      <c r="D98" s="21"/>
      <c r="E98" s="22"/>
      <c r="F98" s="22"/>
      <c r="G98" s="22"/>
      <c r="H98" s="22"/>
      <c r="I98" s="20"/>
      <c r="J98" s="3">
        <f t="shared" si="4"/>
        <v>0</v>
      </c>
    </row>
    <row r="99" spans="2:10" x14ac:dyDescent="0.3">
      <c r="B99" s="2">
        <v>88</v>
      </c>
      <c r="C99" s="28"/>
      <c r="D99" s="21"/>
      <c r="E99" s="22"/>
      <c r="F99" s="22"/>
      <c r="G99" s="22"/>
      <c r="H99" s="22"/>
      <c r="I99" s="20"/>
      <c r="J99" s="3">
        <f t="shared" si="4"/>
        <v>0</v>
      </c>
    </row>
    <row r="100" spans="2:10" x14ac:dyDescent="0.3">
      <c r="B100" s="2">
        <v>89</v>
      </c>
      <c r="C100" s="28"/>
      <c r="D100" s="21"/>
      <c r="E100" s="22"/>
      <c r="F100" s="22"/>
      <c r="G100" s="22"/>
      <c r="H100" s="22"/>
      <c r="I100" s="20"/>
      <c r="J100" s="3">
        <f t="shared" si="4"/>
        <v>0</v>
      </c>
    </row>
    <row r="101" spans="2:10" x14ac:dyDescent="0.3">
      <c r="B101" s="2">
        <v>90</v>
      </c>
      <c r="C101" s="28"/>
      <c r="D101" s="21"/>
      <c r="E101" s="22"/>
      <c r="F101" s="22"/>
      <c r="G101" s="22"/>
      <c r="H101" s="22"/>
      <c r="I101" s="20"/>
      <c r="J101" s="3">
        <f t="shared" si="4"/>
        <v>0</v>
      </c>
    </row>
    <row r="102" spans="2:10" x14ac:dyDescent="0.3">
      <c r="B102" s="2">
        <v>91</v>
      </c>
      <c r="C102" s="28"/>
      <c r="D102" s="21"/>
      <c r="E102" s="22"/>
      <c r="F102" s="22"/>
      <c r="G102" s="22"/>
      <c r="H102" s="22"/>
      <c r="I102" s="20"/>
      <c r="J102" s="3">
        <f t="shared" si="4"/>
        <v>0</v>
      </c>
    </row>
    <row r="103" spans="2:10" x14ac:dyDescent="0.3">
      <c r="B103" s="2">
        <v>92</v>
      </c>
      <c r="C103" s="28"/>
      <c r="D103" s="21"/>
      <c r="E103" s="22"/>
      <c r="F103" s="22"/>
      <c r="G103" s="22"/>
      <c r="H103" s="22"/>
      <c r="I103" s="20"/>
      <c r="J103" s="3">
        <f t="shared" si="4"/>
        <v>0</v>
      </c>
    </row>
    <row r="104" spans="2:10" x14ac:dyDescent="0.3">
      <c r="B104" s="2">
        <v>93</v>
      </c>
      <c r="C104" s="28"/>
      <c r="D104" s="21"/>
      <c r="E104" s="22"/>
      <c r="F104" s="22"/>
      <c r="G104" s="22"/>
      <c r="H104" s="22"/>
      <c r="I104" s="20"/>
      <c r="J104" s="3">
        <f t="shared" si="4"/>
        <v>0</v>
      </c>
    </row>
    <row r="105" spans="2:10" x14ac:dyDescent="0.3">
      <c r="B105" s="2">
        <v>94</v>
      </c>
      <c r="C105" s="28"/>
      <c r="D105" s="21"/>
      <c r="E105" s="22"/>
      <c r="F105" s="22"/>
      <c r="G105" s="22"/>
      <c r="H105" s="22"/>
      <c r="I105" s="20"/>
      <c r="J105" s="3">
        <f t="shared" si="4"/>
        <v>0</v>
      </c>
    </row>
    <row r="106" spans="2:10" x14ac:dyDescent="0.3">
      <c r="B106" s="2">
        <v>95</v>
      </c>
      <c r="C106" s="28"/>
      <c r="D106" s="21"/>
      <c r="E106" s="22"/>
      <c r="F106" s="22"/>
      <c r="G106" s="22"/>
      <c r="H106" s="22"/>
      <c r="I106" s="20"/>
      <c r="J106" s="3">
        <f t="shared" si="4"/>
        <v>0</v>
      </c>
    </row>
    <row r="107" spans="2:10" x14ac:dyDescent="0.3">
      <c r="B107" s="2">
        <v>96</v>
      </c>
      <c r="C107" s="28"/>
      <c r="D107" s="21"/>
      <c r="E107" s="22"/>
      <c r="F107" s="22"/>
      <c r="G107" s="22"/>
      <c r="H107" s="22"/>
      <c r="I107" s="20"/>
      <c r="J107" s="3">
        <f t="shared" si="4"/>
        <v>0</v>
      </c>
    </row>
    <row r="108" spans="2:10" x14ac:dyDescent="0.3">
      <c r="B108" s="2">
        <v>97</v>
      </c>
      <c r="C108" s="28"/>
      <c r="D108" s="21"/>
      <c r="E108" s="22"/>
      <c r="F108" s="22"/>
      <c r="G108" s="22"/>
      <c r="H108" s="22"/>
      <c r="I108" s="20"/>
      <c r="J108" s="3">
        <f t="shared" si="4"/>
        <v>0</v>
      </c>
    </row>
    <row r="109" spans="2:10" x14ac:dyDescent="0.3">
      <c r="B109" s="2">
        <v>98</v>
      </c>
      <c r="C109" s="28"/>
      <c r="D109" s="21"/>
      <c r="E109" s="22"/>
      <c r="F109" s="22"/>
      <c r="G109" s="22"/>
      <c r="H109" s="22"/>
      <c r="I109" s="20"/>
      <c r="J109" s="3">
        <f t="shared" si="4"/>
        <v>0</v>
      </c>
    </row>
    <row r="110" spans="2:10" x14ac:dyDescent="0.3">
      <c r="B110" s="2">
        <v>99</v>
      </c>
      <c r="C110" s="28"/>
      <c r="D110" s="21"/>
      <c r="E110" s="22"/>
      <c r="F110" s="22"/>
      <c r="G110" s="22"/>
      <c r="H110" s="22"/>
      <c r="I110" s="20"/>
      <c r="J110" s="3">
        <f t="shared" si="4"/>
        <v>0</v>
      </c>
    </row>
    <row r="111" spans="2:10" x14ac:dyDescent="0.3">
      <c r="B111" s="2">
        <v>100</v>
      </c>
      <c r="C111" s="28"/>
      <c r="D111" s="21"/>
      <c r="E111" s="22"/>
      <c r="F111" s="22"/>
      <c r="G111" s="22"/>
      <c r="H111" s="22"/>
      <c r="I111" s="20"/>
      <c r="J111" s="3">
        <f t="shared" si="4"/>
        <v>0</v>
      </c>
    </row>
  </sheetData>
  <protectedRanges>
    <protectedRange sqref="D8 D9 I8 I9 J9 J8 C12:I111" name="Rango1"/>
  </protectedRanges>
  <mergeCells count="11">
    <mergeCell ref="S17:S18"/>
    <mergeCell ref="M10:N10"/>
    <mergeCell ref="L13:L14"/>
    <mergeCell ref="M13:Q13"/>
    <mergeCell ref="R13:R14"/>
    <mergeCell ref="S13:S14"/>
    <mergeCell ref="B6:J6"/>
    <mergeCell ref="B8:C8"/>
    <mergeCell ref="B9:C9"/>
    <mergeCell ref="L6:S6"/>
    <mergeCell ref="M9:N9"/>
  </mergeCells>
  <pageMargins left="0.7" right="0.7" top="0.75" bottom="0.75" header="0.3" footer="0.3"/>
  <pageSetup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79C179B-4013-40DF-83DF-7FC1FE28615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S15 S19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 N°_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</dc:creator>
  <cp:lastModifiedBy>Roberto Carlos</cp:lastModifiedBy>
  <cp:lastPrinted>2024-09-09T17:50:03Z</cp:lastPrinted>
  <dcterms:created xsi:type="dcterms:W3CDTF">2024-07-11T14:24:44Z</dcterms:created>
  <dcterms:modified xsi:type="dcterms:W3CDTF">2024-12-23T12:01:48Z</dcterms:modified>
</cp:coreProperties>
</file>